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arco\Documents\Bingo\"/>
    </mc:Choice>
  </mc:AlternateContent>
  <xr:revisionPtr revIDLastSave="0" documentId="13_ncr:1_{1AF5A2D6-A7E7-4CF6-ADA6-5798D2606BF3}" xr6:coauthVersionLast="47" xr6:coauthVersionMax="47" xr10:uidLastSave="{00000000-0000-0000-0000-000000000000}"/>
  <bookViews>
    <workbookView xWindow="-120" yWindow="-120" windowWidth="29040" windowHeight="15720" tabRatio="633" xr2:uid="{B33D1D9D-D043-4CF9-AACB-C37A4FB6214F}"/>
  </bookViews>
  <sheets>
    <sheet name="Cartones" sheetId="59" r:id="rId1"/>
    <sheet name="Bingo Cards" sheetId="57" r:id="rId2"/>
    <sheet name="Tablero" sheetId="1" r:id="rId3"/>
    <sheet name="Premios" sheetId="11" r:id="rId4"/>
    <sheet name="Vendidos" sheetId="25" r:id="rId5"/>
    <sheet name="modalidad" sheetId="47" r:id="rId6"/>
    <sheet name="Plantilla" sheetId="56" r:id="rId7"/>
    <sheet name="Sorteos" sheetId="28" r:id="rId8"/>
    <sheet name="Numeros" sheetId="38" r:id="rId9"/>
  </sheets>
  <functionGroups builtInGroupCount="19"/>
  <definedNames>
    <definedName name="_xlnm.Print_Area" localSheetId="6">Plantilla!$B$1:$M$18</definedName>
  </definedNames>
  <calcPr calcId="191029"/>
  <pivotCaches>
    <pivotCache cacheId="4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11" l="1"/>
  <c r="C2" i="25"/>
  <c r="AM24" i="11" l="1"/>
  <c r="AM23" i="11"/>
  <c r="AM19" i="11"/>
  <c r="M29" i="11"/>
  <c r="M25" i="11"/>
  <c r="E24" i="11" l="1"/>
  <c r="E23" i="11"/>
  <c r="E22" i="11"/>
  <c r="E21" i="11"/>
  <c r="J29" i="11" l="1"/>
  <c r="J28" i="11"/>
  <c r="W13" i="11"/>
  <c r="V14" i="11"/>
  <c r="V15" i="11"/>
  <c r="V16" i="11"/>
  <c r="V17" i="11"/>
  <c r="V18" i="11"/>
  <c r="V19" i="11"/>
  <c r="V20" i="11"/>
  <c r="V21" i="11"/>
  <c r="V22" i="11"/>
  <c r="V23" i="11"/>
  <c r="V24" i="11"/>
  <c r="V13" i="11"/>
  <c r="J14" i="11"/>
  <c r="W15" i="11" l="1"/>
  <c r="W17" i="11" s="1"/>
  <c r="W23" i="11" s="1"/>
  <c r="E6" i="11"/>
  <c r="E17" i="11"/>
  <c r="E19" i="11" s="1"/>
  <c r="E25" i="11" s="1"/>
  <c r="L6" i="1" l="1"/>
  <c r="G14" i="1" s="1"/>
  <c r="C2" i="38" l="1"/>
  <c r="N3" i="11"/>
  <c r="F5" i="11" l="1"/>
  <c r="E8" i="11" s="1"/>
  <c r="N4" i="11" s="1"/>
  <c r="G5" i="11"/>
  <c r="E9" i="11" l="1"/>
  <c r="N5" i="11" s="1"/>
  <c r="J15" i="11" s="1"/>
  <c r="E11" i="11"/>
  <c r="N7" i="11" s="1"/>
  <c r="E10" i="11"/>
  <c r="N6" i="11" s="1"/>
  <c r="J16" i="11" l="1"/>
  <c r="N8" i="11"/>
</calcChain>
</file>

<file path=xl/sharedStrings.xml><?xml version="1.0" encoding="utf-8"?>
<sst xmlns="http://schemas.openxmlformats.org/spreadsheetml/2006/main" count="1913" uniqueCount="145">
  <si>
    <t>B</t>
  </si>
  <si>
    <t>I</t>
  </si>
  <si>
    <t>N</t>
  </si>
  <si>
    <t>G</t>
  </si>
  <si>
    <t>O</t>
  </si>
  <si>
    <t>Sorteo</t>
  </si>
  <si>
    <t>Cruz Grande</t>
  </si>
  <si>
    <t>4 Esquinas</t>
  </si>
  <si>
    <t>Sorteos</t>
  </si>
  <si>
    <t>Carton Lleno</t>
  </si>
  <si>
    <t xml:space="preserve">Cartón No. </t>
  </si>
  <si>
    <t xml:space="preserve">Numero Carton </t>
  </si>
  <si>
    <t>Comprador</t>
  </si>
  <si>
    <t>Fecha</t>
  </si>
  <si>
    <t>Modalidad</t>
  </si>
  <si>
    <t>Nro Sorteo</t>
  </si>
  <si>
    <t>Numeros</t>
  </si>
  <si>
    <t>Cartones Vendidos</t>
  </si>
  <si>
    <t>Costo Carton</t>
  </si>
  <si>
    <t>Diagonal</t>
  </si>
  <si>
    <t>Premios a Repartir hoy:</t>
  </si>
  <si>
    <t>Total Ventas</t>
  </si>
  <si>
    <t>Numero</t>
  </si>
  <si>
    <t>ruta</t>
  </si>
  <si>
    <t>numero</t>
  </si>
  <si>
    <t>C:\Users\PC1\Desktop\Cartones\Carton</t>
  </si>
  <si>
    <t>.png</t>
  </si>
  <si>
    <t>Nombre</t>
  </si>
  <si>
    <t>Marco Salazar</t>
  </si>
  <si>
    <t>Vendidos</t>
  </si>
  <si>
    <t>Bingo en L</t>
  </si>
  <si>
    <t>MODALIDAD</t>
  </si>
  <si>
    <t>Ganancia</t>
  </si>
  <si>
    <t>Total</t>
  </si>
  <si>
    <t>Etiquetas de fila</t>
  </si>
  <si>
    <t>Total general</t>
  </si>
  <si>
    <t>Cruz Larga</t>
  </si>
  <si>
    <t>Paralelas</t>
  </si>
  <si>
    <t>Horizontales</t>
  </si>
  <si>
    <t>Cartones Pemio</t>
  </si>
  <si>
    <t>sub-Total</t>
  </si>
  <si>
    <t>Bingo en Z</t>
  </si>
  <si>
    <t>Bingo en X</t>
  </si>
  <si>
    <t>Cartones V.</t>
  </si>
  <si>
    <t>Racaudo</t>
  </si>
  <si>
    <t>Premios</t>
  </si>
  <si>
    <t>Banco</t>
  </si>
  <si>
    <t>Premos a Repartir hoy:</t>
  </si>
  <si>
    <t>LIBRE</t>
  </si>
  <si>
    <t>CARTON LLENO</t>
  </si>
  <si>
    <t>3,1</t>
  </si>
  <si>
    <t>4,1</t>
  </si>
  <si>
    <t>5,1</t>
  </si>
  <si>
    <t>6,1</t>
  </si>
  <si>
    <t>7,1</t>
  </si>
  <si>
    <t>3,2</t>
  </si>
  <si>
    <t>4,2</t>
  </si>
  <si>
    <t>5,2</t>
  </si>
  <si>
    <t>6,2</t>
  </si>
  <si>
    <t>7,2</t>
  </si>
  <si>
    <t>3,3</t>
  </si>
  <si>
    <t>4,4</t>
  </si>
  <si>
    <t>3,4</t>
  </si>
  <si>
    <t>5,4</t>
  </si>
  <si>
    <t>6,4</t>
  </si>
  <si>
    <t>7,4</t>
  </si>
  <si>
    <t>6,3</t>
  </si>
  <si>
    <t>4,3</t>
  </si>
  <si>
    <t>7,3</t>
  </si>
  <si>
    <t>5,5</t>
  </si>
  <si>
    <t>3,5</t>
  </si>
  <si>
    <t>4,5</t>
  </si>
  <si>
    <t>6,5</t>
  </si>
  <si>
    <t>7,5</t>
  </si>
  <si>
    <t>Pote Especial</t>
  </si>
  <si>
    <t>10% FUMJ</t>
  </si>
  <si>
    <t>45</t>
  </si>
  <si>
    <t>retiro el 15-02 para desayuno del doctor</t>
  </si>
  <si>
    <t>54</t>
  </si>
  <si>
    <t>retiro el 17-02 para desayuno del doctor</t>
  </si>
  <si>
    <t>Saldo Real</t>
  </si>
  <si>
    <t>eilin</t>
  </si>
  <si>
    <t>PARALELAS</t>
  </si>
  <si>
    <t>Sorteo Especial</t>
  </si>
  <si>
    <t>Cartones vendidos</t>
  </si>
  <si>
    <t>5$</t>
  </si>
  <si>
    <t>10$</t>
  </si>
  <si>
    <t>15$</t>
  </si>
  <si>
    <t>Total Premios</t>
  </si>
  <si>
    <t>Utilidad</t>
  </si>
  <si>
    <t>Numeral</t>
  </si>
  <si>
    <t>trino</t>
  </si>
  <si>
    <t>evelin</t>
  </si>
  <si>
    <t>Fundacion</t>
  </si>
  <si>
    <t>yennys</t>
  </si>
  <si>
    <t>makanaki</t>
  </si>
  <si>
    <t>yaneth</t>
  </si>
  <si>
    <t>miurka</t>
  </si>
  <si>
    <t>margloris</t>
  </si>
  <si>
    <t>48</t>
  </si>
  <si>
    <t>marcial</t>
  </si>
  <si>
    <t>cangrejo</t>
  </si>
  <si>
    <t>everson</t>
  </si>
  <si>
    <t>anny</t>
  </si>
  <si>
    <t>virmelis</t>
  </si>
  <si>
    <t>yamilet</t>
  </si>
  <si>
    <t>Nro. Carton</t>
  </si>
  <si>
    <t>BINGO JACOBA</t>
  </si>
  <si>
    <t/>
  </si>
  <si>
    <t xml:space="preserve">Fecha: </t>
  </si>
  <si>
    <t>Fecha:</t>
  </si>
  <si>
    <t>CRUZ COMPLETA</t>
  </si>
  <si>
    <t>maria</t>
  </si>
  <si>
    <t>migdalia</t>
  </si>
  <si>
    <t>rosmaira</t>
  </si>
  <si>
    <t>63</t>
  </si>
  <si>
    <t xml:space="preserve">Bingo </t>
  </si>
  <si>
    <t>Bingo especial</t>
  </si>
  <si>
    <t>Acumulado Marzo</t>
  </si>
  <si>
    <t>Acumulado Abril</t>
  </si>
  <si>
    <t>Total Ingresos</t>
  </si>
  <si>
    <t>Refrigerio Doctor</t>
  </si>
  <si>
    <t>Cemento</t>
  </si>
  <si>
    <t>Bloques</t>
  </si>
  <si>
    <t>Total Egresos</t>
  </si>
  <si>
    <t>Evelin</t>
  </si>
  <si>
    <t>Marielis</t>
  </si>
  <si>
    <t>jhonathan</t>
  </si>
  <si>
    <t>santiago</t>
  </si>
  <si>
    <t>jaydelimar</t>
  </si>
  <si>
    <t>Bingo X</t>
  </si>
  <si>
    <t>Oralis</t>
  </si>
  <si>
    <t>Eilin</t>
  </si>
  <si>
    <t>Yamileth</t>
  </si>
  <si>
    <t>Mindalia</t>
  </si>
  <si>
    <t>Keilimar</t>
  </si>
  <si>
    <t>Jhonathan</t>
  </si>
  <si>
    <t>Eilimar</t>
  </si>
  <si>
    <t>Amarilis</t>
  </si>
  <si>
    <t>58</t>
  </si>
  <si>
    <t>Sorteo Iniciado</t>
  </si>
  <si>
    <t>¡¡¡¡¡TENEMOS GANADOR!!!!!</t>
  </si>
  <si>
    <t>eilimar</t>
  </si>
  <si>
    <t>mindalia</t>
  </si>
  <si>
    <t>Fecha: 13/02/2026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</si>
</sst>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2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55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8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FF0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</cellStyleXfs>
  <cellXfs count="216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0" xfId="0" applyNumberFormat="1"/>
    <xf numFmtId="0" fontId="4" fillId="0" borderId="0" xfId="0" applyFont="1"/>
    <xf numFmtId="0" fontId="0" fillId="0" borderId="5" xfId="0" applyBorder="1"/>
    <xf numFmtId="0" fontId="0" fillId="0" borderId="0" xfId="0" applyAlignment="1">
      <alignment horizont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0" fillId="6" borderId="0" xfId="0" applyFill="1"/>
    <xf numFmtId="0" fontId="4" fillId="6" borderId="0" xfId="0" applyFont="1" applyFill="1"/>
    <xf numFmtId="0" fontId="5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6" borderId="0" xfId="0" applyFill="1" applyAlignment="1">
      <alignment horizontal="center" vertical="center"/>
    </xf>
    <xf numFmtId="0" fontId="8" fillId="2" borderId="16" xfId="0" applyFont="1" applyFill="1" applyBorder="1" applyAlignment="1">
      <alignment horizontal="center" vertical="center"/>
    </xf>
    <xf numFmtId="2" fontId="4" fillId="0" borderId="0" xfId="0" applyNumberFormat="1" applyFont="1"/>
    <xf numFmtId="14" fontId="9" fillId="5" borderId="24" xfId="0" applyNumberFormat="1" applyFont="1" applyFill="1" applyBorder="1" applyAlignment="1">
      <alignment horizontal="left"/>
    </xf>
    <xf numFmtId="43" fontId="0" fillId="0" borderId="0" xfId="1" applyFont="1" applyFill="1" applyBorder="1"/>
    <xf numFmtId="0" fontId="8" fillId="0" borderId="12" xfId="0" applyFont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10" borderId="13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/>
    </xf>
    <xf numFmtId="43" fontId="0" fillId="9" borderId="1" xfId="1" applyFont="1" applyFill="1" applyBorder="1" applyAlignment="1">
      <alignment horizontal="center" vertical="center"/>
    </xf>
    <xf numFmtId="43" fontId="0" fillId="8" borderId="1" xfId="1" applyFont="1" applyFill="1" applyBorder="1" applyAlignment="1">
      <alignment horizontal="center" vertical="center"/>
    </xf>
    <xf numFmtId="0" fontId="0" fillId="10" borderId="7" xfId="0" applyFill="1" applyBorder="1"/>
    <xf numFmtId="0" fontId="0" fillId="4" borderId="10" xfId="0" applyFill="1" applyBorder="1"/>
    <xf numFmtId="0" fontId="9" fillId="5" borderId="13" xfId="0" applyFont="1" applyFill="1" applyBorder="1"/>
    <xf numFmtId="14" fontId="9" fillId="5" borderId="15" xfId="0" applyNumberFormat="1" applyFont="1" applyFill="1" applyBorder="1"/>
    <xf numFmtId="2" fontId="9" fillId="4" borderId="12" xfId="0" applyNumberFormat="1" applyFont="1" applyFill="1" applyBorder="1" applyAlignment="1">
      <alignment horizontal="center" vertical="center"/>
    </xf>
    <xf numFmtId="2" fontId="9" fillId="10" borderId="9" xfId="0" applyNumberFormat="1" applyFont="1" applyFill="1" applyBorder="1" applyAlignment="1">
      <alignment horizontal="center" vertical="center"/>
    </xf>
    <xf numFmtId="43" fontId="0" fillId="9" borderId="20" xfId="1" applyFont="1" applyFill="1" applyBorder="1" applyAlignment="1">
      <alignment horizontal="center" vertical="center"/>
    </xf>
    <xf numFmtId="43" fontId="0" fillId="8" borderId="20" xfId="1" applyFont="1" applyFill="1" applyBorder="1" applyAlignment="1">
      <alignment horizontal="center" vertical="center"/>
    </xf>
    <xf numFmtId="0" fontId="8" fillId="2" borderId="35" xfId="0" applyFont="1" applyFill="1" applyBorder="1" applyAlignment="1">
      <alignment horizontal="center" vertical="center"/>
    </xf>
    <xf numFmtId="0" fontId="8" fillId="2" borderId="36" xfId="0" applyFont="1" applyFill="1" applyBorder="1" applyAlignment="1">
      <alignment horizontal="center" vertical="center"/>
    </xf>
    <xf numFmtId="0" fontId="8" fillId="2" borderId="37" xfId="0" applyFont="1" applyFill="1" applyBorder="1" applyAlignment="1">
      <alignment horizontal="center" vertical="center"/>
    </xf>
    <xf numFmtId="0" fontId="0" fillId="2" borderId="38" xfId="0" applyFill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0" fontId="0" fillId="2" borderId="40" xfId="0" applyFill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2" fontId="9" fillId="3" borderId="4" xfId="0" applyNumberFormat="1" applyFont="1" applyFill="1" applyBorder="1" applyAlignment="1">
      <alignment horizontal="center"/>
    </xf>
    <xf numFmtId="2" fontId="9" fillId="4" borderId="6" xfId="0" applyNumberFormat="1" applyFont="1" applyFill="1" applyBorder="1" applyAlignment="1">
      <alignment horizontal="center"/>
    </xf>
    <xf numFmtId="2" fontId="9" fillId="3" borderId="6" xfId="0" applyNumberFormat="1" applyFont="1" applyFill="1" applyBorder="1" applyAlignment="1">
      <alignment horizontal="center"/>
    </xf>
    <xf numFmtId="2" fontId="9" fillId="4" borderId="9" xfId="0" applyNumberFormat="1" applyFont="1" applyFill="1" applyBorder="1" applyAlignment="1">
      <alignment horizontal="center"/>
    </xf>
    <xf numFmtId="0" fontId="7" fillId="0" borderId="2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49" fontId="0" fillId="9" borderId="1" xfId="1" applyNumberFormat="1" applyFont="1" applyFill="1" applyBorder="1" applyAlignment="1">
      <alignment horizontal="center" vertical="center"/>
    </xf>
    <xf numFmtId="49" fontId="0" fillId="8" borderId="1" xfId="1" applyNumberFormat="1" applyFont="1" applyFill="1" applyBorder="1" applyAlignment="1">
      <alignment horizontal="center" vertical="center"/>
    </xf>
    <xf numFmtId="0" fontId="0" fillId="10" borderId="41" xfId="0" applyFill="1" applyBorder="1" applyAlignment="1">
      <alignment horizontal="center" vertical="center"/>
    </xf>
    <xf numFmtId="0" fontId="0" fillId="12" borderId="33" xfId="0" applyFill="1" applyBorder="1" applyAlignment="1">
      <alignment horizontal="center" vertical="center"/>
    </xf>
    <xf numFmtId="14" fontId="0" fillId="14" borderId="16" xfId="0" applyNumberFormat="1" applyFill="1" applyBorder="1"/>
    <xf numFmtId="14" fontId="0" fillId="8" borderId="1" xfId="0" applyNumberFormat="1" applyFill="1" applyBorder="1" applyAlignment="1">
      <alignment horizontal="center" vertical="center"/>
    </xf>
    <xf numFmtId="14" fontId="0" fillId="9" borderId="1" xfId="0" applyNumberFormat="1" applyFill="1" applyBorder="1" applyAlignment="1">
      <alignment horizontal="center" vertical="center"/>
    </xf>
    <xf numFmtId="14" fontId="0" fillId="8" borderId="11" xfId="0" applyNumberFormat="1" applyFill="1" applyBorder="1" applyAlignment="1">
      <alignment horizontal="center" vertical="center"/>
    </xf>
    <xf numFmtId="49" fontId="0" fillId="8" borderId="11" xfId="1" applyNumberFormat="1" applyFont="1" applyFill="1" applyBorder="1" applyAlignment="1">
      <alignment horizontal="center" vertical="center"/>
    </xf>
    <xf numFmtId="43" fontId="0" fillId="8" borderId="11" xfId="1" applyFont="1" applyFill="1" applyBorder="1" applyAlignment="1">
      <alignment horizontal="center" vertical="center"/>
    </xf>
    <xf numFmtId="43" fontId="0" fillId="8" borderId="42" xfId="1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43" fontId="9" fillId="11" borderId="43" xfId="1" applyFont="1" applyFill="1" applyBorder="1" applyAlignment="1">
      <alignment horizontal="center" vertical="center"/>
    </xf>
    <xf numFmtId="0" fontId="0" fillId="12" borderId="43" xfId="0" applyFill="1" applyBorder="1" applyAlignment="1">
      <alignment horizontal="center" vertical="center"/>
    </xf>
    <xf numFmtId="43" fontId="9" fillId="11" borderId="34" xfId="1" applyFont="1" applyFill="1" applyBorder="1" applyAlignment="1">
      <alignment horizontal="center" vertical="center"/>
    </xf>
    <xf numFmtId="43" fontId="9" fillId="11" borderId="43" xfId="0" applyNumberFormat="1" applyFont="1" applyFill="1" applyBorder="1" applyAlignment="1">
      <alignment horizontal="center" vertical="center"/>
    </xf>
    <xf numFmtId="43" fontId="9" fillId="13" borderId="34" xfId="0" applyNumberFormat="1" applyFont="1" applyFill="1" applyBorder="1" applyAlignment="1">
      <alignment horizontal="center" vertical="center"/>
    </xf>
    <xf numFmtId="0" fontId="9" fillId="12" borderId="33" xfId="0" applyFont="1" applyFill="1" applyBorder="1" applyAlignment="1">
      <alignment horizontal="center" vertical="center"/>
    </xf>
    <xf numFmtId="43" fontId="9" fillId="11" borderId="34" xfId="1" quotePrefix="1" applyFont="1" applyFill="1" applyBorder="1" applyAlignment="1">
      <alignment horizontal="center" vertical="center"/>
    </xf>
    <xf numFmtId="2" fontId="0" fillId="0" borderId="0" xfId="0" applyNumberFormat="1"/>
    <xf numFmtId="0" fontId="9" fillId="14" borderId="0" xfId="0" applyFont="1" applyFill="1"/>
    <xf numFmtId="43" fontId="9" fillId="14" borderId="0" xfId="0" applyNumberFormat="1" applyFont="1" applyFill="1"/>
    <xf numFmtId="0" fontId="9" fillId="0" borderId="0" xfId="0" applyFont="1"/>
    <xf numFmtId="43" fontId="9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7" fillId="2" borderId="16" xfId="0" applyFont="1" applyFill="1" applyBorder="1" applyAlignment="1">
      <alignment horizontal="center" vertical="center"/>
    </xf>
    <xf numFmtId="0" fontId="7" fillId="15" borderId="5" xfId="0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0" fillId="2" borderId="13" xfId="0" applyFont="1" applyFill="1" applyBorder="1"/>
    <xf numFmtId="0" fontId="10" fillId="13" borderId="13" xfId="0" applyFont="1" applyFill="1" applyBorder="1"/>
    <xf numFmtId="43" fontId="10" fillId="2" borderId="15" xfId="1" applyFont="1" applyFill="1" applyBorder="1"/>
    <xf numFmtId="43" fontId="10" fillId="13" borderId="15" xfId="1" applyFont="1" applyFill="1" applyBorder="1"/>
    <xf numFmtId="0" fontId="10" fillId="11" borderId="10" xfId="0" applyFont="1" applyFill="1" applyBorder="1"/>
    <xf numFmtId="43" fontId="10" fillId="11" borderId="12" xfId="1" applyFont="1" applyFill="1" applyBorder="1"/>
    <xf numFmtId="0" fontId="10" fillId="10" borderId="5" xfId="0" applyFont="1" applyFill="1" applyBorder="1"/>
    <xf numFmtId="43" fontId="10" fillId="10" borderId="6" xfId="1" applyFont="1" applyFill="1" applyBorder="1"/>
    <xf numFmtId="0" fontId="10" fillId="11" borderId="17" xfId="0" applyFont="1" applyFill="1" applyBorder="1"/>
    <xf numFmtId="43" fontId="10" fillId="11" borderId="19" xfId="1" applyFont="1" applyFill="1" applyBorder="1"/>
    <xf numFmtId="0" fontId="10" fillId="2" borderId="13" xfId="0" applyFont="1" applyFill="1" applyBorder="1" applyAlignment="1">
      <alignment horizontal="center"/>
    </xf>
    <xf numFmtId="0" fontId="10" fillId="2" borderId="15" xfId="0" applyFont="1" applyFill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0" fillId="16" borderId="38" xfId="0" applyFill="1" applyBorder="1" applyAlignment="1">
      <alignment horizontal="center" vertical="center"/>
    </xf>
    <xf numFmtId="0" fontId="0" fillId="16" borderId="39" xfId="0" applyFill="1" applyBorder="1" applyAlignment="1">
      <alignment horizontal="center" vertical="center"/>
    </xf>
    <xf numFmtId="0" fontId="0" fillId="16" borderId="40" xfId="0" applyFill="1" applyBorder="1" applyAlignment="1">
      <alignment horizontal="center" vertical="center"/>
    </xf>
    <xf numFmtId="0" fontId="7" fillId="16" borderId="16" xfId="0" applyFont="1" applyFill="1" applyBorder="1" applyAlignment="1">
      <alignment horizontal="center" vertical="center"/>
    </xf>
    <xf numFmtId="0" fontId="8" fillId="16" borderId="35" xfId="0" applyFont="1" applyFill="1" applyBorder="1" applyAlignment="1">
      <alignment horizontal="center" vertical="center"/>
    </xf>
    <xf numFmtId="0" fontId="8" fillId="16" borderId="36" xfId="0" applyFont="1" applyFill="1" applyBorder="1" applyAlignment="1">
      <alignment horizontal="center" vertical="center"/>
    </xf>
    <xf numFmtId="0" fontId="8" fillId="16" borderId="37" xfId="0" applyFont="1" applyFill="1" applyBorder="1" applyAlignment="1">
      <alignment horizontal="center" vertical="center"/>
    </xf>
    <xf numFmtId="0" fontId="0" fillId="0" borderId="0" xfId="0" quotePrefix="1"/>
    <xf numFmtId="43" fontId="0" fillId="0" borderId="0" xfId="0" applyNumberFormat="1"/>
    <xf numFmtId="0" fontId="0" fillId="3" borderId="2" xfId="0" applyFill="1" applyBorder="1"/>
    <xf numFmtId="43" fontId="0" fillId="3" borderId="4" xfId="1" applyFont="1" applyFill="1" applyBorder="1"/>
    <xf numFmtId="0" fontId="0" fillId="3" borderId="5" xfId="0" applyFill="1" applyBorder="1"/>
    <xf numFmtId="43" fontId="0" fillId="3" borderId="6" xfId="1" applyFont="1" applyFill="1" applyBorder="1"/>
    <xf numFmtId="43" fontId="0" fillId="3" borderId="6" xfId="0" applyNumberFormat="1" applyFill="1" applyBorder="1"/>
    <xf numFmtId="0" fontId="0" fillId="3" borderId="17" xfId="0" applyFill="1" applyBorder="1"/>
    <xf numFmtId="43" fontId="0" fillId="3" borderId="19" xfId="1" applyFont="1" applyFill="1" applyBorder="1"/>
    <xf numFmtId="0" fontId="0" fillId="3" borderId="10" xfId="0" applyFill="1" applyBorder="1"/>
    <xf numFmtId="43" fontId="0" fillId="3" borderId="12" xfId="0" applyNumberFormat="1" applyFill="1" applyBorder="1"/>
    <xf numFmtId="0" fontId="0" fillId="4" borderId="13" xfId="0" applyFill="1" applyBorder="1"/>
    <xf numFmtId="43" fontId="0" fillId="4" borderId="15" xfId="0" applyNumberFormat="1" applyFill="1" applyBorder="1"/>
    <xf numFmtId="43" fontId="0" fillId="3" borderId="19" xfId="0" applyNumberFormat="1" applyFill="1" applyBorder="1"/>
    <xf numFmtId="0" fontId="1" fillId="17" borderId="1" xfId="0" applyFont="1" applyFill="1" applyBorder="1" applyAlignment="1">
      <alignment horizontal="center" vertical="center"/>
    </xf>
    <xf numFmtId="0" fontId="1" fillId="17" borderId="6" xfId="0" applyFont="1" applyFill="1" applyBorder="1" applyAlignment="1">
      <alignment horizontal="center" vertical="center"/>
    </xf>
    <xf numFmtId="0" fontId="1" fillId="17" borderId="7" xfId="0" applyFont="1" applyFill="1" applyBorder="1" applyAlignment="1">
      <alignment horizontal="center" vertical="center"/>
    </xf>
    <xf numFmtId="0" fontId="1" fillId="17" borderId="5" xfId="0" applyFont="1" applyFill="1" applyBorder="1" applyAlignment="1">
      <alignment horizontal="center" vertical="center"/>
    </xf>
    <xf numFmtId="0" fontId="1" fillId="17" borderId="11" xfId="0" applyFont="1" applyFill="1" applyBorder="1" applyAlignment="1">
      <alignment horizontal="center" vertical="center"/>
    </xf>
    <xf numFmtId="0" fontId="1" fillId="17" borderId="8" xfId="0" applyFont="1" applyFill="1" applyBorder="1" applyAlignment="1">
      <alignment horizontal="center" vertical="center"/>
    </xf>
    <xf numFmtId="0" fontId="1" fillId="17" borderId="10" xfId="0" quotePrefix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  <xf numFmtId="0" fontId="9" fillId="2" borderId="15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6" borderId="10" xfId="0" applyFont="1" applyFill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/>
    </xf>
    <xf numFmtId="0" fontId="2" fillId="6" borderId="12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7" borderId="2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7" borderId="4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9" xfId="0" applyBorder="1" applyAlignment="1">
      <alignment horizontal="center"/>
    </xf>
    <xf numFmtId="0" fontId="10" fillId="2" borderId="13" xfId="0" applyFont="1" applyFill="1" applyBorder="1" applyAlignment="1">
      <alignment horizontal="center"/>
    </xf>
    <xf numFmtId="0" fontId="10" fillId="2" borderId="15" xfId="0" applyFont="1" applyFill="1" applyBorder="1" applyAlignment="1">
      <alignment horizontal="center"/>
    </xf>
    <xf numFmtId="0" fontId="9" fillId="5" borderId="22" xfId="0" applyFont="1" applyFill="1" applyBorder="1" applyAlignment="1">
      <alignment horizontal="right"/>
    </xf>
    <xf numFmtId="0" fontId="9" fillId="5" borderId="23" xfId="0" applyFont="1" applyFill="1" applyBorder="1" applyAlignment="1">
      <alignment horizontal="right"/>
    </xf>
    <xf numFmtId="0" fontId="9" fillId="3" borderId="2" xfId="0" applyFont="1" applyFill="1" applyBorder="1" applyAlignment="1">
      <alignment horizontal="left"/>
    </xf>
    <xf numFmtId="0" fontId="9" fillId="3" borderId="3" xfId="0" applyFont="1" applyFill="1" applyBorder="1" applyAlignment="1">
      <alignment horizontal="left"/>
    </xf>
    <xf numFmtId="0" fontId="9" fillId="4" borderId="32" xfId="0" applyFont="1" applyFill="1" applyBorder="1" applyAlignment="1">
      <alignment horizontal="left"/>
    </xf>
    <xf numFmtId="0" fontId="9" fillId="4" borderId="21" xfId="0" applyFont="1" applyFill="1" applyBorder="1" applyAlignment="1">
      <alignment horizontal="left"/>
    </xf>
    <xf numFmtId="0" fontId="9" fillId="3" borderId="32" xfId="0" applyFont="1" applyFill="1" applyBorder="1" applyAlignment="1">
      <alignment horizontal="left"/>
    </xf>
    <xf numFmtId="0" fontId="9" fillId="3" borderId="21" xfId="0" applyFont="1" applyFill="1" applyBorder="1" applyAlignment="1">
      <alignment horizontal="left"/>
    </xf>
    <xf numFmtId="0" fontId="9" fillId="4" borderId="30" xfId="0" applyFont="1" applyFill="1" applyBorder="1" applyAlignment="1">
      <alignment horizontal="left"/>
    </xf>
    <xf numFmtId="0" fontId="9" fillId="4" borderId="31" xfId="0" applyFont="1" applyFill="1" applyBorder="1" applyAlignment="1">
      <alignment horizontal="left"/>
    </xf>
    <xf numFmtId="0" fontId="11" fillId="0" borderId="0" xfId="0" applyFont="1" applyAlignment="1">
      <alignment horizontal="center" vertical="center"/>
    </xf>
    <xf numFmtId="0" fontId="1" fillId="0" borderId="12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9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center" vertical="center"/>
    </xf>
    <xf numFmtId="0" fontId="7" fillId="15" borderId="2" xfId="0" applyFont="1" applyFill="1" applyBorder="1" applyAlignment="1">
      <alignment horizontal="center" vertical="center"/>
    </xf>
    <xf numFmtId="0" fontId="7" fillId="15" borderId="9" xfId="0" applyFont="1" applyFill="1" applyBorder="1" applyAlignment="1">
      <alignment horizontal="center" vertical="center"/>
    </xf>
    <xf numFmtId="0" fontId="7" fillId="15" borderId="7" xfId="0" applyFont="1" applyFill="1" applyBorder="1" applyAlignment="1">
      <alignment horizontal="center" vertical="center"/>
    </xf>
  </cellXfs>
  <cellStyles count="3">
    <cellStyle name="Millares" xfId="1" builtinId="3"/>
    <cellStyle name="Millares 2" xfId="2" xr:uid="{C423EA09-785A-49F3-A7C9-FD364984AC7C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$K$6" fmlaRange="$P$4:$P$12" noThreeD="1" sel="4" val="0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3" Type="http://schemas.openxmlformats.org/officeDocument/2006/relationships/image" Target="../media/image13.emf"/><Relationship Id="rId7" Type="http://schemas.openxmlformats.org/officeDocument/2006/relationships/image" Target="../media/image17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6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6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5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802</xdr:row>
      <xdr:rowOff>0</xdr:rowOff>
    </xdr:from>
    <xdr:to>
      <xdr:col>6</xdr:col>
      <xdr:colOff>0</xdr:colOff>
      <xdr:row>807</xdr:row>
      <xdr:rowOff>0</xdr:rowOff>
    </xdr:to>
    <xdr:sp macro="" textlink="">
      <xdr:nvSpPr>
        <xdr:cNvPr id="102" name="Rectángulo 101">
          <a:extLst>
            <a:ext uri="{FF2B5EF4-FFF2-40B4-BE49-F238E27FC236}">
              <a16:creationId xmlns:a16="http://schemas.microsoft.com/office/drawing/2014/main" id="{B54C0AEF-5BBF-09BF-81D0-EEFAD71F6A36}"/>
            </a:ext>
          </a:extLst>
        </xdr:cNvPr>
        <xdr:cNvSpPr/>
      </xdr:nvSpPr>
      <xdr:spPr>
        <a:xfrm>
          <a:off x="152400" y="35405377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794</xdr:row>
      <xdr:rowOff>0</xdr:rowOff>
    </xdr:from>
    <xdr:to>
      <xdr:col>6</xdr:col>
      <xdr:colOff>0</xdr:colOff>
      <xdr:row>799</xdr:row>
      <xdr:rowOff>0</xdr:rowOff>
    </xdr:to>
    <xdr:sp macro="" textlink="">
      <xdr:nvSpPr>
        <xdr:cNvPr id="101" name="Rectángulo 100">
          <a:extLst>
            <a:ext uri="{FF2B5EF4-FFF2-40B4-BE49-F238E27FC236}">
              <a16:creationId xmlns:a16="http://schemas.microsoft.com/office/drawing/2014/main" id="{7480EE05-66C1-993A-531F-08195CE6C21E}"/>
            </a:ext>
          </a:extLst>
        </xdr:cNvPr>
        <xdr:cNvSpPr/>
      </xdr:nvSpPr>
      <xdr:spPr>
        <a:xfrm>
          <a:off x="152400" y="35052000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786</xdr:row>
      <xdr:rowOff>0</xdr:rowOff>
    </xdr:from>
    <xdr:to>
      <xdr:col>6</xdr:col>
      <xdr:colOff>0</xdr:colOff>
      <xdr:row>791</xdr:row>
      <xdr:rowOff>0</xdr:rowOff>
    </xdr:to>
    <xdr:sp macro="" textlink="">
      <xdr:nvSpPr>
        <xdr:cNvPr id="100" name="Rectángulo 99">
          <a:extLst>
            <a:ext uri="{FF2B5EF4-FFF2-40B4-BE49-F238E27FC236}">
              <a16:creationId xmlns:a16="http://schemas.microsoft.com/office/drawing/2014/main" id="{13797B2D-8019-91CD-5FE3-6C49F4219814}"/>
            </a:ext>
          </a:extLst>
        </xdr:cNvPr>
        <xdr:cNvSpPr/>
      </xdr:nvSpPr>
      <xdr:spPr>
        <a:xfrm>
          <a:off x="152400" y="34698622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778</xdr:row>
      <xdr:rowOff>0</xdr:rowOff>
    </xdr:from>
    <xdr:to>
      <xdr:col>6</xdr:col>
      <xdr:colOff>0</xdr:colOff>
      <xdr:row>783</xdr:row>
      <xdr:rowOff>0</xdr:rowOff>
    </xdr:to>
    <xdr:sp macro="" textlink="">
      <xdr:nvSpPr>
        <xdr:cNvPr id="99" name="Rectángulo 98">
          <a:extLst>
            <a:ext uri="{FF2B5EF4-FFF2-40B4-BE49-F238E27FC236}">
              <a16:creationId xmlns:a16="http://schemas.microsoft.com/office/drawing/2014/main" id="{E3AF18D1-AFCD-BAAF-D5A1-0F9A2A7768D8}"/>
            </a:ext>
          </a:extLst>
        </xdr:cNvPr>
        <xdr:cNvSpPr/>
      </xdr:nvSpPr>
      <xdr:spPr>
        <a:xfrm>
          <a:off x="152400" y="34345245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770</xdr:row>
      <xdr:rowOff>0</xdr:rowOff>
    </xdr:from>
    <xdr:to>
      <xdr:col>6</xdr:col>
      <xdr:colOff>0</xdr:colOff>
      <xdr:row>775</xdr:row>
      <xdr:rowOff>0</xdr:rowOff>
    </xdr:to>
    <xdr:sp macro="" textlink="">
      <xdr:nvSpPr>
        <xdr:cNvPr id="98" name="Rectángulo 97">
          <a:extLst>
            <a:ext uri="{FF2B5EF4-FFF2-40B4-BE49-F238E27FC236}">
              <a16:creationId xmlns:a16="http://schemas.microsoft.com/office/drawing/2014/main" id="{2D0F8BD9-C073-B8A1-64EA-D970F8487C6F}"/>
            </a:ext>
          </a:extLst>
        </xdr:cNvPr>
        <xdr:cNvSpPr/>
      </xdr:nvSpPr>
      <xdr:spPr>
        <a:xfrm>
          <a:off x="152400" y="33991867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762</xdr:row>
      <xdr:rowOff>0</xdr:rowOff>
    </xdr:from>
    <xdr:to>
      <xdr:col>6</xdr:col>
      <xdr:colOff>0</xdr:colOff>
      <xdr:row>767</xdr:row>
      <xdr:rowOff>0</xdr:rowOff>
    </xdr:to>
    <xdr:sp macro="" textlink="">
      <xdr:nvSpPr>
        <xdr:cNvPr id="97" name="Rectángulo 96">
          <a:extLst>
            <a:ext uri="{FF2B5EF4-FFF2-40B4-BE49-F238E27FC236}">
              <a16:creationId xmlns:a16="http://schemas.microsoft.com/office/drawing/2014/main" id="{A67DBE22-B0F3-5B5F-F8B7-CDF065CB44BF}"/>
            </a:ext>
          </a:extLst>
        </xdr:cNvPr>
        <xdr:cNvSpPr/>
      </xdr:nvSpPr>
      <xdr:spPr>
        <a:xfrm>
          <a:off x="152400" y="33638490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754</xdr:row>
      <xdr:rowOff>0</xdr:rowOff>
    </xdr:from>
    <xdr:to>
      <xdr:col>6</xdr:col>
      <xdr:colOff>0</xdr:colOff>
      <xdr:row>759</xdr:row>
      <xdr:rowOff>0</xdr:rowOff>
    </xdr:to>
    <xdr:sp macro="" textlink="">
      <xdr:nvSpPr>
        <xdr:cNvPr id="96" name="Rectángulo 95">
          <a:extLst>
            <a:ext uri="{FF2B5EF4-FFF2-40B4-BE49-F238E27FC236}">
              <a16:creationId xmlns:a16="http://schemas.microsoft.com/office/drawing/2014/main" id="{CB8425F9-137F-94E6-FECB-A9B2B379280B}"/>
            </a:ext>
          </a:extLst>
        </xdr:cNvPr>
        <xdr:cNvSpPr/>
      </xdr:nvSpPr>
      <xdr:spPr>
        <a:xfrm>
          <a:off x="152400" y="33285112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746</xdr:row>
      <xdr:rowOff>0</xdr:rowOff>
    </xdr:from>
    <xdr:to>
      <xdr:col>6</xdr:col>
      <xdr:colOff>0</xdr:colOff>
      <xdr:row>751</xdr:row>
      <xdr:rowOff>0</xdr:rowOff>
    </xdr:to>
    <xdr:sp macro="" textlink="">
      <xdr:nvSpPr>
        <xdr:cNvPr id="95" name="Rectángulo 94">
          <a:extLst>
            <a:ext uri="{FF2B5EF4-FFF2-40B4-BE49-F238E27FC236}">
              <a16:creationId xmlns:a16="http://schemas.microsoft.com/office/drawing/2014/main" id="{EFB56585-9A18-7A8D-1826-05D7A30A1266}"/>
            </a:ext>
          </a:extLst>
        </xdr:cNvPr>
        <xdr:cNvSpPr/>
      </xdr:nvSpPr>
      <xdr:spPr>
        <a:xfrm>
          <a:off x="152400" y="32931735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738</xdr:row>
      <xdr:rowOff>0</xdr:rowOff>
    </xdr:from>
    <xdr:to>
      <xdr:col>6</xdr:col>
      <xdr:colOff>0</xdr:colOff>
      <xdr:row>743</xdr:row>
      <xdr:rowOff>0</xdr:rowOff>
    </xdr:to>
    <xdr:sp macro="" textlink="">
      <xdr:nvSpPr>
        <xdr:cNvPr id="94" name="Rectángulo 93">
          <a:extLst>
            <a:ext uri="{FF2B5EF4-FFF2-40B4-BE49-F238E27FC236}">
              <a16:creationId xmlns:a16="http://schemas.microsoft.com/office/drawing/2014/main" id="{74C10283-8D17-B1F0-F03F-F7AD71FA2AD4}"/>
            </a:ext>
          </a:extLst>
        </xdr:cNvPr>
        <xdr:cNvSpPr/>
      </xdr:nvSpPr>
      <xdr:spPr>
        <a:xfrm>
          <a:off x="152400" y="32578357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730</xdr:row>
      <xdr:rowOff>0</xdr:rowOff>
    </xdr:from>
    <xdr:to>
      <xdr:col>6</xdr:col>
      <xdr:colOff>0</xdr:colOff>
      <xdr:row>735</xdr:row>
      <xdr:rowOff>0</xdr:rowOff>
    </xdr:to>
    <xdr:sp macro="" textlink="">
      <xdr:nvSpPr>
        <xdr:cNvPr id="93" name="Rectángulo 92">
          <a:extLst>
            <a:ext uri="{FF2B5EF4-FFF2-40B4-BE49-F238E27FC236}">
              <a16:creationId xmlns:a16="http://schemas.microsoft.com/office/drawing/2014/main" id="{3CE83955-3DC6-1471-35C6-371E0E107812}"/>
            </a:ext>
          </a:extLst>
        </xdr:cNvPr>
        <xdr:cNvSpPr/>
      </xdr:nvSpPr>
      <xdr:spPr>
        <a:xfrm>
          <a:off x="152400" y="32224980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722</xdr:row>
      <xdr:rowOff>0</xdr:rowOff>
    </xdr:from>
    <xdr:to>
      <xdr:col>6</xdr:col>
      <xdr:colOff>0</xdr:colOff>
      <xdr:row>727</xdr:row>
      <xdr:rowOff>0</xdr:rowOff>
    </xdr:to>
    <xdr:sp macro="" textlink="">
      <xdr:nvSpPr>
        <xdr:cNvPr id="92" name="Rectángulo 91">
          <a:extLst>
            <a:ext uri="{FF2B5EF4-FFF2-40B4-BE49-F238E27FC236}">
              <a16:creationId xmlns:a16="http://schemas.microsoft.com/office/drawing/2014/main" id="{962357D9-923C-A6F1-04DE-19AF1BE197B4}"/>
            </a:ext>
          </a:extLst>
        </xdr:cNvPr>
        <xdr:cNvSpPr/>
      </xdr:nvSpPr>
      <xdr:spPr>
        <a:xfrm>
          <a:off x="152400" y="31871602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714</xdr:row>
      <xdr:rowOff>0</xdr:rowOff>
    </xdr:from>
    <xdr:to>
      <xdr:col>6</xdr:col>
      <xdr:colOff>0</xdr:colOff>
      <xdr:row>719</xdr:row>
      <xdr:rowOff>0</xdr:rowOff>
    </xdr:to>
    <xdr:sp macro="" textlink="">
      <xdr:nvSpPr>
        <xdr:cNvPr id="91" name="Rectángulo 90">
          <a:extLst>
            <a:ext uri="{FF2B5EF4-FFF2-40B4-BE49-F238E27FC236}">
              <a16:creationId xmlns:a16="http://schemas.microsoft.com/office/drawing/2014/main" id="{2B9023AC-1D53-36E5-CCCC-9A63BA1A416A}"/>
            </a:ext>
          </a:extLst>
        </xdr:cNvPr>
        <xdr:cNvSpPr/>
      </xdr:nvSpPr>
      <xdr:spPr>
        <a:xfrm>
          <a:off x="152400" y="31518225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706</xdr:row>
      <xdr:rowOff>0</xdr:rowOff>
    </xdr:from>
    <xdr:to>
      <xdr:col>6</xdr:col>
      <xdr:colOff>0</xdr:colOff>
      <xdr:row>711</xdr:row>
      <xdr:rowOff>0</xdr:rowOff>
    </xdr:to>
    <xdr:sp macro="" textlink="">
      <xdr:nvSpPr>
        <xdr:cNvPr id="90" name="Rectángulo 89">
          <a:extLst>
            <a:ext uri="{FF2B5EF4-FFF2-40B4-BE49-F238E27FC236}">
              <a16:creationId xmlns:a16="http://schemas.microsoft.com/office/drawing/2014/main" id="{E5CCB9DC-E829-55E4-1F60-B9D7A72304DF}"/>
            </a:ext>
          </a:extLst>
        </xdr:cNvPr>
        <xdr:cNvSpPr/>
      </xdr:nvSpPr>
      <xdr:spPr>
        <a:xfrm>
          <a:off x="152400" y="31164847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698</xdr:row>
      <xdr:rowOff>0</xdr:rowOff>
    </xdr:from>
    <xdr:to>
      <xdr:col>6</xdr:col>
      <xdr:colOff>0</xdr:colOff>
      <xdr:row>703</xdr:row>
      <xdr:rowOff>0</xdr:rowOff>
    </xdr:to>
    <xdr:sp macro="" textlink="">
      <xdr:nvSpPr>
        <xdr:cNvPr id="89" name="Rectángulo 88">
          <a:extLst>
            <a:ext uri="{FF2B5EF4-FFF2-40B4-BE49-F238E27FC236}">
              <a16:creationId xmlns:a16="http://schemas.microsoft.com/office/drawing/2014/main" id="{12687AB4-8711-5445-05DD-4036DED4E228}"/>
            </a:ext>
          </a:extLst>
        </xdr:cNvPr>
        <xdr:cNvSpPr/>
      </xdr:nvSpPr>
      <xdr:spPr>
        <a:xfrm>
          <a:off x="152400" y="30811470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690</xdr:row>
      <xdr:rowOff>0</xdr:rowOff>
    </xdr:from>
    <xdr:to>
      <xdr:col>6</xdr:col>
      <xdr:colOff>0</xdr:colOff>
      <xdr:row>695</xdr:row>
      <xdr:rowOff>0</xdr:rowOff>
    </xdr:to>
    <xdr:sp macro="" textlink="">
      <xdr:nvSpPr>
        <xdr:cNvPr id="88" name="Rectángulo 87">
          <a:extLst>
            <a:ext uri="{FF2B5EF4-FFF2-40B4-BE49-F238E27FC236}">
              <a16:creationId xmlns:a16="http://schemas.microsoft.com/office/drawing/2014/main" id="{B2DE5951-753B-76D7-CD01-86FC0292E68A}"/>
            </a:ext>
          </a:extLst>
        </xdr:cNvPr>
        <xdr:cNvSpPr/>
      </xdr:nvSpPr>
      <xdr:spPr>
        <a:xfrm>
          <a:off x="152400" y="30458092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682</xdr:row>
      <xdr:rowOff>0</xdr:rowOff>
    </xdr:from>
    <xdr:to>
      <xdr:col>6</xdr:col>
      <xdr:colOff>0</xdr:colOff>
      <xdr:row>687</xdr:row>
      <xdr:rowOff>0</xdr:rowOff>
    </xdr:to>
    <xdr:sp macro="" textlink="">
      <xdr:nvSpPr>
        <xdr:cNvPr id="87" name="Rectángulo 86">
          <a:extLst>
            <a:ext uri="{FF2B5EF4-FFF2-40B4-BE49-F238E27FC236}">
              <a16:creationId xmlns:a16="http://schemas.microsoft.com/office/drawing/2014/main" id="{93787490-9BF7-7449-D63E-33085BBC944C}"/>
            </a:ext>
          </a:extLst>
        </xdr:cNvPr>
        <xdr:cNvSpPr/>
      </xdr:nvSpPr>
      <xdr:spPr>
        <a:xfrm>
          <a:off x="152400" y="30104715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674</xdr:row>
      <xdr:rowOff>0</xdr:rowOff>
    </xdr:from>
    <xdr:to>
      <xdr:col>6</xdr:col>
      <xdr:colOff>0</xdr:colOff>
      <xdr:row>679</xdr:row>
      <xdr:rowOff>0</xdr:rowOff>
    </xdr:to>
    <xdr:sp macro="" textlink="">
      <xdr:nvSpPr>
        <xdr:cNvPr id="86" name="Rectángulo 85">
          <a:extLst>
            <a:ext uri="{FF2B5EF4-FFF2-40B4-BE49-F238E27FC236}">
              <a16:creationId xmlns:a16="http://schemas.microsoft.com/office/drawing/2014/main" id="{0C700B65-DD76-68B2-18D4-A5619A225F8D}"/>
            </a:ext>
          </a:extLst>
        </xdr:cNvPr>
        <xdr:cNvSpPr/>
      </xdr:nvSpPr>
      <xdr:spPr>
        <a:xfrm>
          <a:off x="152400" y="29751337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666</xdr:row>
      <xdr:rowOff>0</xdr:rowOff>
    </xdr:from>
    <xdr:to>
      <xdr:col>6</xdr:col>
      <xdr:colOff>0</xdr:colOff>
      <xdr:row>671</xdr:row>
      <xdr:rowOff>0</xdr:rowOff>
    </xdr:to>
    <xdr:sp macro="" textlink="">
      <xdr:nvSpPr>
        <xdr:cNvPr id="85" name="Rectángulo 84">
          <a:extLst>
            <a:ext uri="{FF2B5EF4-FFF2-40B4-BE49-F238E27FC236}">
              <a16:creationId xmlns:a16="http://schemas.microsoft.com/office/drawing/2014/main" id="{7CDA9F57-8AA4-254B-385D-203D72EC307C}"/>
            </a:ext>
          </a:extLst>
        </xdr:cNvPr>
        <xdr:cNvSpPr/>
      </xdr:nvSpPr>
      <xdr:spPr>
        <a:xfrm>
          <a:off x="152400" y="29397960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658</xdr:row>
      <xdr:rowOff>0</xdr:rowOff>
    </xdr:from>
    <xdr:to>
      <xdr:col>6</xdr:col>
      <xdr:colOff>0</xdr:colOff>
      <xdr:row>663</xdr:row>
      <xdr:rowOff>0</xdr:rowOff>
    </xdr:to>
    <xdr:sp macro="" textlink="">
      <xdr:nvSpPr>
        <xdr:cNvPr id="84" name="Rectángulo 83">
          <a:extLst>
            <a:ext uri="{FF2B5EF4-FFF2-40B4-BE49-F238E27FC236}">
              <a16:creationId xmlns:a16="http://schemas.microsoft.com/office/drawing/2014/main" id="{A1418D5D-3789-7677-8E56-E146550D1004}"/>
            </a:ext>
          </a:extLst>
        </xdr:cNvPr>
        <xdr:cNvSpPr/>
      </xdr:nvSpPr>
      <xdr:spPr>
        <a:xfrm>
          <a:off x="152400" y="29044582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650</xdr:row>
      <xdr:rowOff>0</xdr:rowOff>
    </xdr:from>
    <xdr:to>
      <xdr:col>6</xdr:col>
      <xdr:colOff>0</xdr:colOff>
      <xdr:row>655</xdr:row>
      <xdr:rowOff>0</xdr:rowOff>
    </xdr:to>
    <xdr:sp macro="" textlink="">
      <xdr:nvSpPr>
        <xdr:cNvPr id="83" name="Rectángulo 82">
          <a:extLst>
            <a:ext uri="{FF2B5EF4-FFF2-40B4-BE49-F238E27FC236}">
              <a16:creationId xmlns:a16="http://schemas.microsoft.com/office/drawing/2014/main" id="{562734CE-108E-2A92-65FC-95D6BEF4AE41}"/>
            </a:ext>
          </a:extLst>
        </xdr:cNvPr>
        <xdr:cNvSpPr/>
      </xdr:nvSpPr>
      <xdr:spPr>
        <a:xfrm>
          <a:off x="152400" y="28691205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642</xdr:row>
      <xdr:rowOff>0</xdr:rowOff>
    </xdr:from>
    <xdr:to>
      <xdr:col>6</xdr:col>
      <xdr:colOff>0</xdr:colOff>
      <xdr:row>647</xdr:row>
      <xdr:rowOff>0</xdr:rowOff>
    </xdr:to>
    <xdr:sp macro="" textlink="">
      <xdr:nvSpPr>
        <xdr:cNvPr id="82" name="Rectángulo 81">
          <a:extLst>
            <a:ext uri="{FF2B5EF4-FFF2-40B4-BE49-F238E27FC236}">
              <a16:creationId xmlns:a16="http://schemas.microsoft.com/office/drawing/2014/main" id="{559D07BF-17D5-73E0-2F0D-DB33A952F32B}"/>
            </a:ext>
          </a:extLst>
        </xdr:cNvPr>
        <xdr:cNvSpPr/>
      </xdr:nvSpPr>
      <xdr:spPr>
        <a:xfrm>
          <a:off x="152400" y="28337827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634</xdr:row>
      <xdr:rowOff>0</xdr:rowOff>
    </xdr:from>
    <xdr:to>
      <xdr:col>6</xdr:col>
      <xdr:colOff>0</xdr:colOff>
      <xdr:row>639</xdr:row>
      <xdr:rowOff>0</xdr:rowOff>
    </xdr:to>
    <xdr:sp macro="" textlink="">
      <xdr:nvSpPr>
        <xdr:cNvPr id="81" name="Rectángulo 80">
          <a:extLst>
            <a:ext uri="{FF2B5EF4-FFF2-40B4-BE49-F238E27FC236}">
              <a16:creationId xmlns:a16="http://schemas.microsoft.com/office/drawing/2014/main" id="{044F6E03-C26F-9EF2-921B-3F659DB9938D}"/>
            </a:ext>
          </a:extLst>
        </xdr:cNvPr>
        <xdr:cNvSpPr/>
      </xdr:nvSpPr>
      <xdr:spPr>
        <a:xfrm>
          <a:off x="152400" y="27984450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626</xdr:row>
      <xdr:rowOff>0</xdr:rowOff>
    </xdr:from>
    <xdr:to>
      <xdr:col>6</xdr:col>
      <xdr:colOff>0</xdr:colOff>
      <xdr:row>631</xdr:row>
      <xdr:rowOff>0</xdr:rowOff>
    </xdr:to>
    <xdr:sp macro="" textlink="">
      <xdr:nvSpPr>
        <xdr:cNvPr id="80" name="Rectángulo 79">
          <a:extLst>
            <a:ext uri="{FF2B5EF4-FFF2-40B4-BE49-F238E27FC236}">
              <a16:creationId xmlns:a16="http://schemas.microsoft.com/office/drawing/2014/main" id="{BCAE56ED-A25C-87E1-AD3E-650D3836C441}"/>
            </a:ext>
          </a:extLst>
        </xdr:cNvPr>
        <xdr:cNvSpPr/>
      </xdr:nvSpPr>
      <xdr:spPr>
        <a:xfrm>
          <a:off x="152400" y="27631072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618</xdr:row>
      <xdr:rowOff>0</xdr:rowOff>
    </xdr:from>
    <xdr:to>
      <xdr:col>6</xdr:col>
      <xdr:colOff>0</xdr:colOff>
      <xdr:row>623</xdr:row>
      <xdr:rowOff>0</xdr:rowOff>
    </xdr:to>
    <xdr:sp macro="" textlink="">
      <xdr:nvSpPr>
        <xdr:cNvPr id="79" name="Rectángulo 78">
          <a:extLst>
            <a:ext uri="{FF2B5EF4-FFF2-40B4-BE49-F238E27FC236}">
              <a16:creationId xmlns:a16="http://schemas.microsoft.com/office/drawing/2014/main" id="{194C60FD-D374-A3B0-C852-238913738B73}"/>
            </a:ext>
          </a:extLst>
        </xdr:cNvPr>
        <xdr:cNvSpPr/>
      </xdr:nvSpPr>
      <xdr:spPr>
        <a:xfrm>
          <a:off x="152400" y="27277695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610</xdr:row>
      <xdr:rowOff>0</xdr:rowOff>
    </xdr:from>
    <xdr:to>
      <xdr:col>6</xdr:col>
      <xdr:colOff>0</xdr:colOff>
      <xdr:row>615</xdr:row>
      <xdr:rowOff>0</xdr:rowOff>
    </xdr:to>
    <xdr:sp macro="" textlink="">
      <xdr:nvSpPr>
        <xdr:cNvPr id="78" name="Rectángulo 77">
          <a:extLst>
            <a:ext uri="{FF2B5EF4-FFF2-40B4-BE49-F238E27FC236}">
              <a16:creationId xmlns:a16="http://schemas.microsoft.com/office/drawing/2014/main" id="{A8222C9B-8F57-053A-BABB-FABAF81A46A8}"/>
            </a:ext>
          </a:extLst>
        </xdr:cNvPr>
        <xdr:cNvSpPr/>
      </xdr:nvSpPr>
      <xdr:spPr>
        <a:xfrm>
          <a:off x="152400" y="26924317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602</xdr:row>
      <xdr:rowOff>0</xdr:rowOff>
    </xdr:from>
    <xdr:to>
      <xdr:col>6</xdr:col>
      <xdr:colOff>0</xdr:colOff>
      <xdr:row>607</xdr:row>
      <xdr:rowOff>0</xdr:rowOff>
    </xdr:to>
    <xdr:sp macro="" textlink="">
      <xdr:nvSpPr>
        <xdr:cNvPr id="77" name="Rectángulo 76">
          <a:extLst>
            <a:ext uri="{FF2B5EF4-FFF2-40B4-BE49-F238E27FC236}">
              <a16:creationId xmlns:a16="http://schemas.microsoft.com/office/drawing/2014/main" id="{185C591C-A78D-300F-29D3-A2DC4757A715}"/>
            </a:ext>
          </a:extLst>
        </xdr:cNvPr>
        <xdr:cNvSpPr/>
      </xdr:nvSpPr>
      <xdr:spPr>
        <a:xfrm>
          <a:off x="152400" y="26570940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594</xdr:row>
      <xdr:rowOff>0</xdr:rowOff>
    </xdr:from>
    <xdr:to>
      <xdr:col>6</xdr:col>
      <xdr:colOff>0</xdr:colOff>
      <xdr:row>599</xdr:row>
      <xdr:rowOff>0</xdr:rowOff>
    </xdr:to>
    <xdr:sp macro="" textlink="">
      <xdr:nvSpPr>
        <xdr:cNvPr id="76" name="Rectángulo 75">
          <a:extLst>
            <a:ext uri="{FF2B5EF4-FFF2-40B4-BE49-F238E27FC236}">
              <a16:creationId xmlns:a16="http://schemas.microsoft.com/office/drawing/2014/main" id="{035CFE0B-8827-C9A4-2FAC-40FED7155B0B}"/>
            </a:ext>
          </a:extLst>
        </xdr:cNvPr>
        <xdr:cNvSpPr/>
      </xdr:nvSpPr>
      <xdr:spPr>
        <a:xfrm>
          <a:off x="152400" y="26217562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586</xdr:row>
      <xdr:rowOff>0</xdr:rowOff>
    </xdr:from>
    <xdr:to>
      <xdr:col>6</xdr:col>
      <xdr:colOff>0</xdr:colOff>
      <xdr:row>591</xdr:row>
      <xdr:rowOff>0</xdr:rowOff>
    </xdr:to>
    <xdr:sp macro="" textlink="">
      <xdr:nvSpPr>
        <xdr:cNvPr id="75" name="Rectángulo 74">
          <a:extLst>
            <a:ext uri="{FF2B5EF4-FFF2-40B4-BE49-F238E27FC236}">
              <a16:creationId xmlns:a16="http://schemas.microsoft.com/office/drawing/2014/main" id="{489CCC52-55CE-4151-B7F1-38577374C8EB}"/>
            </a:ext>
          </a:extLst>
        </xdr:cNvPr>
        <xdr:cNvSpPr/>
      </xdr:nvSpPr>
      <xdr:spPr>
        <a:xfrm>
          <a:off x="152400" y="25864185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578</xdr:row>
      <xdr:rowOff>0</xdr:rowOff>
    </xdr:from>
    <xdr:to>
      <xdr:col>6</xdr:col>
      <xdr:colOff>0</xdr:colOff>
      <xdr:row>583</xdr:row>
      <xdr:rowOff>0</xdr:rowOff>
    </xdr:to>
    <xdr:sp macro="" textlink="">
      <xdr:nvSpPr>
        <xdr:cNvPr id="74" name="Rectángulo 73">
          <a:extLst>
            <a:ext uri="{FF2B5EF4-FFF2-40B4-BE49-F238E27FC236}">
              <a16:creationId xmlns:a16="http://schemas.microsoft.com/office/drawing/2014/main" id="{26C73F66-A619-0931-C35F-19039D3A9822}"/>
            </a:ext>
          </a:extLst>
        </xdr:cNvPr>
        <xdr:cNvSpPr/>
      </xdr:nvSpPr>
      <xdr:spPr>
        <a:xfrm>
          <a:off x="152400" y="25510807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570</xdr:row>
      <xdr:rowOff>0</xdr:rowOff>
    </xdr:from>
    <xdr:to>
      <xdr:col>6</xdr:col>
      <xdr:colOff>0</xdr:colOff>
      <xdr:row>575</xdr:row>
      <xdr:rowOff>0</xdr:rowOff>
    </xdr:to>
    <xdr:sp macro="" textlink="">
      <xdr:nvSpPr>
        <xdr:cNvPr id="73" name="Rectángulo 72">
          <a:extLst>
            <a:ext uri="{FF2B5EF4-FFF2-40B4-BE49-F238E27FC236}">
              <a16:creationId xmlns:a16="http://schemas.microsoft.com/office/drawing/2014/main" id="{79DCD63F-97AD-D5B1-635F-381A29BEF8B4}"/>
            </a:ext>
          </a:extLst>
        </xdr:cNvPr>
        <xdr:cNvSpPr/>
      </xdr:nvSpPr>
      <xdr:spPr>
        <a:xfrm>
          <a:off x="152400" y="25157430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562</xdr:row>
      <xdr:rowOff>0</xdr:rowOff>
    </xdr:from>
    <xdr:to>
      <xdr:col>6</xdr:col>
      <xdr:colOff>0</xdr:colOff>
      <xdr:row>567</xdr:row>
      <xdr:rowOff>0</xdr:rowOff>
    </xdr:to>
    <xdr:sp macro="" textlink="">
      <xdr:nvSpPr>
        <xdr:cNvPr id="72" name="Rectángulo 71">
          <a:extLst>
            <a:ext uri="{FF2B5EF4-FFF2-40B4-BE49-F238E27FC236}">
              <a16:creationId xmlns:a16="http://schemas.microsoft.com/office/drawing/2014/main" id="{F98A4F5B-C1E0-2E7E-CFBD-E6E7DFC9F2B1}"/>
            </a:ext>
          </a:extLst>
        </xdr:cNvPr>
        <xdr:cNvSpPr/>
      </xdr:nvSpPr>
      <xdr:spPr>
        <a:xfrm>
          <a:off x="152400" y="24804052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554</xdr:row>
      <xdr:rowOff>0</xdr:rowOff>
    </xdr:from>
    <xdr:to>
      <xdr:col>6</xdr:col>
      <xdr:colOff>0</xdr:colOff>
      <xdr:row>559</xdr:row>
      <xdr:rowOff>0</xdr:rowOff>
    </xdr:to>
    <xdr:sp macro="" textlink="">
      <xdr:nvSpPr>
        <xdr:cNvPr id="71" name="Rectángulo 70">
          <a:extLst>
            <a:ext uri="{FF2B5EF4-FFF2-40B4-BE49-F238E27FC236}">
              <a16:creationId xmlns:a16="http://schemas.microsoft.com/office/drawing/2014/main" id="{CC491108-810B-AB96-C01C-F428A6A0517C}"/>
            </a:ext>
          </a:extLst>
        </xdr:cNvPr>
        <xdr:cNvSpPr/>
      </xdr:nvSpPr>
      <xdr:spPr>
        <a:xfrm>
          <a:off x="152400" y="24450675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546</xdr:row>
      <xdr:rowOff>0</xdr:rowOff>
    </xdr:from>
    <xdr:to>
      <xdr:col>6</xdr:col>
      <xdr:colOff>0</xdr:colOff>
      <xdr:row>551</xdr:row>
      <xdr:rowOff>0</xdr:rowOff>
    </xdr:to>
    <xdr:sp macro="" textlink="">
      <xdr:nvSpPr>
        <xdr:cNvPr id="70" name="Rectángulo 69">
          <a:extLst>
            <a:ext uri="{FF2B5EF4-FFF2-40B4-BE49-F238E27FC236}">
              <a16:creationId xmlns:a16="http://schemas.microsoft.com/office/drawing/2014/main" id="{C15311C0-BC95-5867-1D16-7B32CB00A5EB}"/>
            </a:ext>
          </a:extLst>
        </xdr:cNvPr>
        <xdr:cNvSpPr/>
      </xdr:nvSpPr>
      <xdr:spPr>
        <a:xfrm>
          <a:off x="152400" y="24097297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538</xdr:row>
      <xdr:rowOff>0</xdr:rowOff>
    </xdr:from>
    <xdr:to>
      <xdr:col>6</xdr:col>
      <xdr:colOff>0</xdr:colOff>
      <xdr:row>543</xdr:row>
      <xdr:rowOff>0</xdr:rowOff>
    </xdr:to>
    <xdr:sp macro="" textlink="">
      <xdr:nvSpPr>
        <xdr:cNvPr id="69" name="Rectángulo 68">
          <a:extLst>
            <a:ext uri="{FF2B5EF4-FFF2-40B4-BE49-F238E27FC236}">
              <a16:creationId xmlns:a16="http://schemas.microsoft.com/office/drawing/2014/main" id="{1BAC3A31-15E2-C42B-B700-B680607FBA33}"/>
            </a:ext>
          </a:extLst>
        </xdr:cNvPr>
        <xdr:cNvSpPr/>
      </xdr:nvSpPr>
      <xdr:spPr>
        <a:xfrm>
          <a:off x="152400" y="23743920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530</xdr:row>
      <xdr:rowOff>0</xdr:rowOff>
    </xdr:from>
    <xdr:to>
      <xdr:col>6</xdr:col>
      <xdr:colOff>0</xdr:colOff>
      <xdr:row>535</xdr:row>
      <xdr:rowOff>0</xdr:rowOff>
    </xdr:to>
    <xdr:sp macro="" textlink="">
      <xdr:nvSpPr>
        <xdr:cNvPr id="68" name="Rectángulo 67">
          <a:extLst>
            <a:ext uri="{FF2B5EF4-FFF2-40B4-BE49-F238E27FC236}">
              <a16:creationId xmlns:a16="http://schemas.microsoft.com/office/drawing/2014/main" id="{C3EBE008-C09C-C04E-7C46-0AACF36C113B}"/>
            </a:ext>
          </a:extLst>
        </xdr:cNvPr>
        <xdr:cNvSpPr/>
      </xdr:nvSpPr>
      <xdr:spPr>
        <a:xfrm>
          <a:off x="152400" y="23390542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522</xdr:row>
      <xdr:rowOff>0</xdr:rowOff>
    </xdr:from>
    <xdr:to>
      <xdr:col>6</xdr:col>
      <xdr:colOff>0</xdr:colOff>
      <xdr:row>527</xdr:row>
      <xdr:rowOff>0</xdr:rowOff>
    </xdr:to>
    <xdr:sp macro="" textlink="">
      <xdr:nvSpPr>
        <xdr:cNvPr id="67" name="Rectángulo 66">
          <a:extLst>
            <a:ext uri="{FF2B5EF4-FFF2-40B4-BE49-F238E27FC236}">
              <a16:creationId xmlns:a16="http://schemas.microsoft.com/office/drawing/2014/main" id="{050D2AAC-35E9-75D2-BBEC-B2B7EA444ECE}"/>
            </a:ext>
          </a:extLst>
        </xdr:cNvPr>
        <xdr:cNvSpPr/>
      </xdr:nvSpPr>
      <xdr:spPr>
        <a:xfrm>
          <a:off x="152400" y="23037165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514</xdr:row>
      <xdr:rowOff>0</xdr:rowOff>
    </xdr:from>
    <xdr:to>
      <xdr:col>6</xdr:col>
      <xdr:colOff>0</xdr:colOff>
      <xdr:row>519</xdr:row>
      <xdr:rowOff>0</xdr:rowOff>
    </xdr:to>
    <xdr:sp macro="" textlink="">
      <xdr:nvSpPr>
        <xdr:cNvPr id="66" name="Rectángulo 65">
          <a:extLst>
            <a:ext uri="{FF2B5EF4-FFF2-40B4-BE49-F238E27FC236}">
              <a16:creationId xmlns:a16="http://schemas.microsoft.com/office/drawing/2014/main" id="{1F0C6626-173B-CC85-95D1-36557F564EEC}"/>
            </a:ext>
          </a:extLst>
        </xdr:cNvPr>
        <xdr:cNvSpPr/>
      </xdr:nvSpPr>
      <xdr:spPr>
        <a:xfrm>
          <a:off x="152400" y="22683787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506</xdr:row>
      <xdr:rowOff>0</xdr:rowOff>
    </xdr:from>
    <xdr:to>
      <xdr:col>6</xdr:col>
      <xdr:colOff>0</xdr:colOff>
      <xdr:row>511</xdr:row>
      <xdr:rowOff>0</xdr:rowOff>
    </xdr:to>
    <xdr:sp macro="" textlink="">
      <xdr:nvSpPr>
        <xdr:cNvPr id="65" name="Rectángulo 64">
          <a:extLst>
            <a:ext uri="{FF2B5EF4-FFF2-40B4-BE49-F238E27FC236}">
              <a16:creationId xmlns:a16="http://schemas.microsoft.com/office/drawing/2014/main" id="{247D39BF-8BA4-DB10-B431-66C3B5B5CFAF}"/>
            </a:ext>
          </a:extLst>
        </xdr:cNvPr>
        <xdr:cNvSpPr/>
      </xdr:nvSpPr>
      <xdr:spPr>
        <a:xfrm>
          <a:off x="152400" y="22330410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498</xdr:row>
      <xdr:rowOff>0</xdr:rowOff>
    </xdr:from>
    <xdr:to>
      <xdr:col>6</xdr:col>
      <xdr:colOff>0</xdr:colOff>
      <xdr:row>503</xdr:row>
      <xdr:rowOff>0</xdr:rowOff>
    </xdr:to>
    <xdr:sp macro="" textlink="">
      <xdr:nvSpPr>
        <xdr:cNvPr id="64" name="Rectángulo 63">
          <a:extLst>
            <a:ext uri="{FF2B5EF4-FFF2-40B4-BE49-F238E27FC236}">
              <a16:creationId xmlns:a16="http://schemas.microsoft.com/office/drawing/2014/main" id="{7EB9F90B-489D-D2F8-CB5F-81F9A86E1A90}"/>
            </a:ext>
          </a:extLst>
        </xdr:cNvPr>
        <xdr:cNvSpPr/>
      </xdr:nvSpPr>
      <xdr:spPr>
        <a:xfrm>
          <a:off x="152400" y="21977032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490</xdr:row>
      <xdr:rowOff>0</xdr:rowOff>
    </xdr:from>
    <xdr:to>
      <xdr:col>6</xdr:col>
      <xdr:colOff>0</xdr:colOff>
      <xdr:row>495</xdr:row>
      <xdr:rowOff>0</xdr:rowOff>
    </xdr:to>
    <xdr:sp macro="" textlink="">
      <xdr:nvSpPr>
        <xdr:cNvPr id="63" name="Rectángulo 62">
          <a:extLst>
            <a:ext uri="{FF2B5EF4-FFF2-40B4-BE49-F238E27FC236}">
              <a16:creationId xmlns:a16="http://schemas.microsoft.com/office/drawing/2014/main" id="{D197BFFB-4002-C240-E091-0072990A03BE}"/>
            </a:ext>
          </a:extLst>
        </xdr:cNvPr>
        <xdr:cNvSpPr/>
      </xdr:nvSpPr>
      <xdr:spPr>
        <a:xfrm>
          <a:off x="152400" y="21623655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482</xdr:row>
      <xdr:rowOff>0</xdr:rowOff>
    </xdr:from>
    <xdr:to>
      <xdr:col>6</xdr:col>
      <xdr:colOff>0</xdr:colOff>
      <xdr:row>487</xdr:row>
      <xdr:rowOff>0</xdr:rowOff>
    </xdr:to>
    <xdr:sp macro="" textlink="">
      <xdr:nvSpPr>
        <xdr:cNvPr id="62" name="Rectángulo 61">
          <a:extLst>
            <a:ext uri="{FF2B5EF4-FFF2-40B4-BE49-F238E27FC236}">
              <a16:creationId xmlns:a16="http://schemas.microsoft.com/office/drawing/2014/main" id="{F33C161D-5816-5BA7-E1B1-5D8F2A88A650}"/>
            </a:ext>
          </a:extLst>
        </xdr:cNvPr>
        <xdr:cNvSpPr/>
      </xdr:nvSpPr>
      <xdr:spPr>
        <a:xfrm>
          <a:off x="152400" y="21270277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474</xdr:row>
      <xdr:rowOff>0</xdr:rowOff>
    </xdr:from>
    <xdr:to>
      <xdr:col>6</xdr:col>
      <xdr:colOff>0</xdr:colOff>
      <xdr:row>479</xdr:row>
      <xdr:rowOff>0</xdr:rowOff>
    </xdr:to>
    <xdr:sp macro="" textlink="">
      <xdr:nvSpPr>
        <xdr:cNvPr id="61" name="Rectángulo 60">
          <a:extLst>
            <a:ext uri="{FF2B5EF4-FFF2-40B4-BE49-F238E27FC236}">
              <a16:creationId xmlns:a16="http://schemas.microsoft.com/office/drawing/2014/main" id="{1A382109-DFF3-AD27-E1FE-E0D7FD833CEC}"/>
            </a:ext>
          </a:extLst>
        </xdr:cNvPr>
        <xdr:cNvSpPr/>
      </xdr:nvSpPr>
      <xdr:spPr>
        <a:xfrm>
          <a:off x="152400" y="20916900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466</xdr:row>
      <xdr:rowOff>0</xdr:rowOff>
    </xdr:from>
    <xdr:to>
      <xdr:col>6</xdr:col>
      <xdr:colOff>0</xdr:colOff>
      <xdr:row>471</xdr:row>
      <xdr:rowOff>0</xdr:rowOff>
    </xdr:to>
    <xdr:sp macro="" textlink="">
      <xdr:nvSpPr>
        <xdr:cNvPr id="60" name="Rectángulo 59">
          <a:extLst>
            <a:ext uri="{FF2B5EF4-FFF2-40B4-BE49-F238E27FC236}">
              <a16:creationId xmlns:a16="http://schemas.microsoft.com/office/drawing/2014/main" id="{6027EACC-0FBC-A407-A182-28483CB97FA2}"/>
            </a:ext>
          </a:extLst>
        </xdr:cNvPr>
        <xdr:cNvSpPr/>
      </xdr:nvSpPr>
      <xdr:spPr>
        <a:xfrm>
          <a:off x="152400" y="20563522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458</xdr:row>
      <xdr:rowOff>0</xdr:rowOff>
    </xdr:from>
    <xdr:to>
      <xdr:col>6</xdr:col>
      <xdr:colOff>0</xdr:colOff>
      <xdr:row>463</xdr:row>
      <xdr:rowOff>0</xdr:rowOff>
    </xdr:to>
    <xdr:sp macro="" textlink="">
      <xdr:nvSpPr>
        <xdr:cNvPr id="59" name="Rectángulo 58">
          <a:extLst>
            <a:ext uri="{FF2B5EF4-FFF2-40B4-BE49-F238E27FC236}">
              <a16:creationId xmlns:a16="http://schemas.microsoft.com/office/drawing/2014/main" id="{7BB13B40-66DC-F25F-E684-F124A1424264}"/>
            </a:ext>
          </a:extLst>
        </xdr:cNvPr>
        <xdr:cNvSpPr/>
      </xdr:nvSpPr>
      <xdr:spPr>
        <a:xfrm>
          <a:off x="152400" y="20210145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450</xdr:row>
      <xdr:rowOff>0</xdr:rowOff>
    </xdr:from>
    <xdr:to>
      <xdr:col>6</xdr:col>
      <xdr:colOff>0</xdr:colOff>
      <xdr:row>455</xdr:row>
      <xdr:rowOff>0</xdr:rowOff>
    </xdr:to>
    <xdr:sp macro="" textlink="">
      <xdr:nvSpPr>
        <xdr:cNvPr id="58" name="Rectángulo 57">
          <a:extLst>
            <a:ext uri="{FF2B5EF4-FFF2-40B4-BE49-F238E27FC236}">
              <a16:creationId xmlns:a16="http://schemas.microsoft.com/office/drawing/2014/main" id="{AEB8B102-1103-FB68-9C17-07DF0C15CEA7}"/>
            </a:ext>
          </a:extLst>
        </xdr:cNvPr>
        <xdr:cNvSpPr/>
      </xdr:nvSpPr>
      <xdr:spPr>
        <a:xfrm>
          <a:off x="152400" y="19856767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442</xdr:row>
      <xdr:rowOff>0</xdr:rowOff>
    </xdr:from>
    <xdr:to>
      <xdr:col>6</xdr:col>
      <xdr:colOff>0</xdr:colOff>
      <xdr:row>447</xdr:row>
      <xdr:rowOff>0</xdr:rowOff>
    </xdr:to>
    <xdr:sp macro="" textlink="">
      <xdr:nvSpPr>
        <xdr:cNvPr id="57" name="Rectángulo 56">
          <a:extLst>
            <a:ext uri="{FF2B5EF4-FFF2-40B4-BE49-F238E27FC236}">
              <a16:creationId xmlns:a16="http://schemas.microsoft.com/office/drawing/2014/main" id="{803AEF8E-EA16-3B2E-37D8-2CC343567105}"/>
            </a:ext>
          </a:extLst>
        </xdr:cNvPr>
        <xdr:cNvSpPr/>
      </xdr:nvSpPr>
      <xdr:spPr>
        <a:xfrm>
          <a:off x="152400" y="19503390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434</xdr:row>
      <xdr:rowOff>0</xdr:rowOff>
    </xdr:from>
    <xdr:to>
      <xdr:col>6</xdr:col>
      <xdr:colOff>0</xdr:colOff>
      <xdr:row>439</xdr:row>
      <xdr:rowOff>0</xdr:rowOff>
    </xdr:to>
    <xdr:sp macro="" textlink="">
      <xdr:nvSpPr>
        <xdr:cNvPr id="56" name="Rectángulo 55">
          <a:extLst>
            <a:ext uri="{FF2B5EF4-FFF2-40B4-BE49-F238E27FC236}">
              <a16:creationId xmlns:a16="http://schemas.microsoft.com/office/drawing/2014/main" id="{F1E6B7C5-29EC-A0BF-FEB4-3062EA97E211}"/>
            </a:ext>
          </a:extLst>
        </xdr:cNvPr>
        <xdr:cNvSpPr/>
      </xdr:nvSpPr>
      <xdr:spPr>
        <a:xfrm>
          <a:off x="152400" y="19150012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426</xdr:row>
      <xdr:rowOff>0</xdr:rowOff>
    </xdr:from>
    <xdr:to>
      <xdr:col>6</xdr:col>
      <xdr:colOff>0</xdr:colOff>
      <xdr:row>431</xdr:row>
      <xdr:rowOff>0</xdr:rowOff>
    </xdr:to>
    <xdr:sp macro="" textlink="">
      <xdr:nvSpPr>
        <xdr:cNvPr id="55" name="Rectángulo 54">
          <a:extLst>
            <a:ext uri="{FF2B5EF4-FFF2-40B4-BE49-F238E27FC236}">
              <a16:creationId xmlns:a16="http://schemas.microsoft.com/office/drawing/2014/main" id="{0BAE7564-4467-7CD1-4BEC-941B2BBFFCB0}"/>
            </a:ext>
          </a:extLst>
        </xdr:cNvPr>
        <xdr:cNvSpPr/>
      </xdr:nvSpPr>
      <xdr:spPr>
        <a:xfrm>
          <a:off x="152400" y="18796635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418</xdr:row>
      <xdr:rowOff>0</xdr:rowOff>
    </xdr:from>
    <xdr:to>
      <xdr:col>6</xdr:col>
      <xdr:colOff>0</xdr:colOff>
      <xdr:row>423</xdr:row>
      <xdr:rowOff>0</xdr:rowOff>
    </xdr:to>
    <xdr:sp macro="" textlink="">
      <xdr:nvSpPr>
        <xdr:cNvPr id="54" name="Rectángulo 53">
          <a:extLst>
            <a:ext uri="{FF2B5EF4-FFF2-40B4-BE49-F238E27FC236}">
              <a16:creationId xmlns:a16="http://schemas.microsoft.com/office/drawing/2014/main" id="{0246E893-69CF-A465-CF30-05EF50DEA0FB}"/>
            </a:ext>
          </a:extLst>
        </xdr:cNvPr>
        <xdr:cNvSpPr/>
      </xdr:nvSpPr>
      <xdr:spPr>
        <a:xfrm>
          <a:off x="152400" y="18443257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410</xdr:row>
      <xdr:rowOff>0</xdr:rowOff>
    </xdr:from>
    <xdr:to>
      <xdr:col>6</xdr:col>
      <xdr:colOff>0</xdr:colOff>
      <xdr:row>415</xdr:row>
      <xdr:rowOff>0</xdr:rowOff>
    </xdr:to>
    <xdr:sp macro="" textlink="">
      <xdr:nvSpPr>
        <xdr:cNvPr id="53" name="Rectángulo 52">
          <a:extLst>
            <a:ext uri="{FF2B5EF4-FFF2-40B4-BE49-F238E27FC236}">
              <a16:creationId xmlns:a16="http://schemas.microsoft.com/office/drawing/2014/main" id="{26DAA5A0-BDC0-6B06-1D69-AFD18284EB82}"/>
            </a:ext>
          </a:extLst>
        </xdr:cNvPr>
        <xdr:cNvSpPr/>
      </xdr:nvSpPr>
      <xdr:spPr>
        <a:xfrm>
          <a:off x="152400" y="18089880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402</xdr:row>
      <xdr:rowOff>0</xdr:rowOff>
    </xdr:from>
    <xdr:to>
      <xdr:col>6</xdr:col>
      <xdr:colOff>0</xdr:colOff>
      <xdr:row>407</xdr:row>
      <xdr:rowOff>0</xdr:rowOff>
    </xdr:to>
    <xdr:sp macro="" textlink="">
      <xdr:nvSpPr>
        <xdr:cNvPr id="52" name="Rectángulo 51">
          <a:extLst>
            <a:ext uri="{FF2B5EF4-FFF2-40B4-BE49-F238E27FC236}">
              <a16:creationId xmlns:a16="http://schemas.microsoft.com/office/drawing/2014/main" id="{5898CF96-E62B-9C6B-8EAC-7964AE9CE828}"/>
            </a:ext>
          </a:extLst>
        </xdr:cNvPr>
        <xdr:cNvSpPr/>
      </xdr:nvSpPr>
      <xdr:spPr>
        <a:xfrm>
          <a:off x="152400" y="17736502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394</xdr:row>
      <xdr:rowOff>0</xdr:rowOff>
    </xdr:from>
    <xdr:to>
      <xdr:col>6</xdr:col>
      <xdr:colOff>0</xdr:colOff>
      <xdr:row>399</xdr:row>
      <xdr:rowOff>0</xdr:rowOff>
    </xdr:to>
    <xdr:sp macro="" textlink="">
      <xdr:nvSpPr>
        <xdr:cNvPr id="51" name="Rectángulo 50">
          <a:extLst>
            <a:ext uri="{FF2B5EF4-FFF2-40B4-BE49-F238E27FC236}">
              <a16:creationId xmlns:a16="http://schemas.microsoft.com/office/drawing/2014/main" id="{35D26293-6FF1-2CDD-D371-96377E7BD783}"/>
            </a:ext>
          </a:extLst>
        </xdr:cNvPr>
        <xdr:cNvSpPr/>
      </xdr:nvSpPr>
      <xdr:spPr>
        <a:xfrm>
          <a:off x="152400" y="17383125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386</xdr:row>
      <xdr:rowOff>0</xdr:rowOff>
    </xdr:from>
    <xdr:to>
      <xdr:col>6</xdr:col>
      <xdr:colOff>0</xdr:colOff>
      <xdr:row>391</xdr:row>
      <xdr:rowOff>0</xdr:rowOff>
    </xdr:to>
    <xdr:sp macro="" textlink="">
      <xdr:nvSpPr>
        <xdr:cNvPr id="50" name="Rectángulo 49">
          <a:extLst>
            <a:ext uri="{FF2B5EF4-FFF2-40B4-BE49-F238E27FC236}">
              <a16:creationId xmlns:a16="http://schemas.microsoft.com/office/drawing/2014/main" id="{7DE81700-FEA3-6EDD-69F7-4B745C9B10CF}"/>
            </a:ext>
          </a:extLst>
        </xdr:cNvPr>
        <xdr:cNvSpPr/>
      </xdr:nvSpPr>
      <xdr:spPr>
        <a:xfrm>
          <a:off x="152400" y="17029747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378</xdr:row>
      <xdr:rowOff>0</xdr:rowOff>
    </xdr:from>
    <xdr:to>
      <xdr:col>6</xdr:col>
      <xdr:colOff>0</xdr:colOff>
      <xdr:row>383</xdr:row>
      <xdr:rowOff>0</xdr:rowOff>
    </xdr:to>
    <xdr:sp macro="" textlink="">
      <xdr:nvSpPr>
        <xdr:cNvPr id="49" name="Rectángulo 48">
          <a:extLst>
            <a:ext uri="{FF2B5EF4-FFF2-40B4-BE49-F238E27FC236}">
              <a16:creationId xmlns:a16="http://schemas.microsoft.com/office/drawing/2014/main" id="{06F0E959-9399-235A-2979-370977F9974E}"/>
            </a:ext>
          </a:extLst>
        </xdr:cNvPr>
        <xdr:cNvSpPr/>
      </xdr:nvSpPr>
      <xdr:spPr>
        <a:xfrm>
          <a:off x="152400" y="16676370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370</xdr:row>
      <xdr:rowOff>0</xdr:rowOff>
    </xdr:from>
    <xdr:to>
      <xdr:col>6</xdr:col>
      <xdr:colOff>0</xdr:colOff>
      <xdr:row>375</xdr:row>
      <xdr:rowOff>0</xdr:rowOff>
    </xdr:to>
    <xdr:sp macro="" textlink="">
      <xdr:nvSpPr>
        <xdr:cNvPr id="48" name="Rectángulo 47">
          <a:extLst>
            <a:ext uri="{FF2B5EF4-FFF2-40B4-BE49-F238E27FC236}">
              <a16:creationId xmlns:a16="http://schemas.microsoft.com/office/drawing/2014/main" id="{66DCA93C-5698-C15F-A766-FB520FC451CC}"/>
            </a:ext>
          </a:extLst>
        </xdr:cNvPr>
        <xdr:cNvSpPr/>
      </xdr:nvSpPr>
      <xdr:spPr>
        <a:xfrm>
          <a:off x="152400" y="16322992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362</xdr:row>
      <xdr:rowOff>0</xdr:rowOff>
    </xdr:from>
    <xdr:to>
      <xdr:col>6</xdr:col>
      <xdr:colOff>0</xdr:colOff>
      <xdr:row>367</xdr:row>
      <xdr:rowOff>0</xdr:rowOff>
    </xdr:to>
    <xdr:sp macro="" textlink="">
      <xdr:nvSpPr>
        <xdr:cNvPr id="47" name="Rectángulo 46">
          <a:extLst>
            <a:ext uri="{FF2B5EF4-FFF2-40B4-BE49-F238E27FC236}">
              <a16:creationId xmlns:a16="http://schemas.microsoft.com/office/drawing/2014/main" id="{7BEE42B5-020C-D37D-2354-A77A359F6C65}"/>
            </a:ext>
          </a:extLst>
        </xdr:cNvPr>
        <xdr:cNvSpPr/>
      </xdr:nvSpPr>
      <xdr:spPr>
        <a:xfrm>
          <a:off x="152400" y="15969615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354</xdr:row>
      <xdr:rowOff>0</xdr:rowOff>
    </xdr:from>
    <xdr:to>
      <xdr:col>6</xdr:col>
      <xdr:colOff>0</xdr:colOff>
      <xdr:row>359</xdr:row>
      <xdr:rowOff>0</xdr:rowOff>
    </xdr:to>
    <xdr:sp macro="" textlink="">
      <xdr:nvSpPr>
        <xdr:cNvPr id="46" name="Rectángulo 45">
          <a:extLst>
            <a:ext uri="{FF2B5EF4-FFF2-40B4-BE49-F238E27FC236}">
              <a16:creationId xmlns:a16="http://schemas.microsoft.com/office/drawing/2014/main" id="{7CEF27D9-F806-0F95-0D27-E70893B8AF0C}"/>
            </a:ext>
          </a:extLst>
        </xdr:cNvPr>
        <xdr:cNvSpPr/>
      </xdr:nvSpPr>
      <xdr:spPr>
        <a:xfrm>
          <a:off x="152400" y="15616237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346</xdr:row>
      <xdr:rowOff>0</xdr:rowOff>
    </xdr:from>
    <xdr:to>
      <xdr:col>6</xdr:col>
      <xdr:colOff>0</xdr:colOff>
      <xdr:row>351</xdr:row>
      <xdr:rowOff>0</xdr:rowOff>
    </xdr:to>
    <xdr:sp macro="" textlink="">
      <xdr:nvSpPr>
        <xdr:cNvPr id="45" name="Rectángulo 44">
          <a:extLst>
            <a:ext uri="{FF2B5EF4-FFF2-40B4-BE49-F238E27FC236}">
              <a16:creationId xmlns:a16="http://schemas.microsoft.com/office/drawing/2014/main" id="{4D27D493-735D-D5F9-F5C6-A4C9A24DCA84}"/>
            </a:ext>
          </a:extLst>
        </xdr:cNvPr>
        <xdr:cNvSpPr/>
      </xdr:nvSpPr>
      <xdr:spPr>
        <a:xfrm>
          <a:off x="152400" y="15262860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338</xdr:row>
      <xdr:rowOff>0</xdr:rowOff>
    </xdr:from>
    <xdr:to>
      <xdr:col>6</xdr:col>
      <xdr:colOff>0</xdr:colOff>
      <xdr:row>343</xdr:row>
      <xdr:rowOff>0</xdr:rowOff>
    </xdr:to>
    <xdr:sp macro="" textlink="">
      <xdr:nvSpPr>
        <xdr:cNvPr id="44" name="Rectángulo 43">
          <a:extLst>
            <a:ext uri="{FF2B5EF4-FFF2-40B4-BE49-F238E27FC236}">
              <a16:creationId xmlns:a16="http://schemas.microsoft.com/office/drawing/2014/main" id="{4EDB8311-DE86-B2FF-B1F6-0C15D1EE3039}"/>
            </a:ext>
          </a:extLst>
        </xdr:cNvPr>
        <xdr:cNvSpPr/>
      </xdr:nvSpPr>
      <xdr:spPr>
        <a:xfrm>
          <a:off x="152400" y="14909482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330</xdr:row>
      <xdr:rowOff>0</xdr:rowOff>
    </xdr:from>
    <xdr:to>
      <xdr:col>6</xdr:col>
      <xdr:colOff>0</xdr:colOff>
      <xdr:row>335</xdr:row>
      <xdr:rowOff>0</xdr:rowOff>
    </xdr:to>
    <xdr:sp macro="" textlink="">
      <xdr:nvSpPr>
        <xdr:cNvPr id="43" name="Rectángulo 42">
          <a:extLst>
            <a:ext uri="{FF2B5EF4-FFF2-40B4-BE49-F238E27FC236}">
              <a16:creationId xmlns:a16="http://schemas.microsoft.com/office/drawing/2014/main" id="{83CB1110-71AC-6D42-E920-489CFBB8A0B8}"/>
            </a:ext>
          </a:extLst>
        </xdr:cNvPr>
        <xdr:cNvSpPr/>
      </xdr:nvSpPr>
      <xdr:spPr>
        <a:xfrm>
          <a:off x="152400" y="14556105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322</xdr:row>
      <xdr:rowOff>0</xdr:rowOff>
    </xdr:from>
    <xdr:to>
      <xdr:col>6</xdr:col>
      <xdr:colOff>0</xdr:colOff>
      <xdr:row>327</xdr:row>
      <xdr:rowOff>0</xdr:rowOff>
    </xdr:to>
    <xdr:sp macro="" textlink="">
      <xdr:nvSpPr>
        <xdr:cNvPr id="42" name="Rectángulo 41">
          <a:extLst>
            <a:ext uri="{FF2B5EF4-FFF2-40B4-BE49-F238E27FC236}">
              <a16:creationId xmlns:a16="http://schemas.microsoft.com/office/drawing/2014/main" id="{D98C5147-001A-7C17-09D9-5D4F16F71AB2}"/>
            </a:ext>
          </a:extLst>
        </xdr:cNvPr>
        <xdr:cNvSpPr/>
      </xdr:nvSpPr>
      <xdr:spPr>
        <a:xfrm>
          <a:off x="152400" y="14202727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314</xdr:row>
      <xdr:rowOff>0</xdr:rowOff>
    </xdr:from>
    <xdr:to>
      <xdr:col>6</xdr:col>
      <xdr:colOff>0</xdr:colOff>
      <xdr:row>319</xdr:row>
      <xdr:rowOff>0</xdr:rowOff>
    </xdr:to>
    <xdr:sp macro="" textlink="">
      <xdr:nvSpPr>
        <xdr:cNvPr id="41" name="Rectángulo 40">
          <a:extLst>
            <a:ext uri="{FF2B5EF4-FFF2-40B4-BE49-F238E27FC236}">
              <a16:creationId xmlns:a16="http://schemas.microsoft.com/office/drawing/2014/main" id="{75854A38-C05E-B5BB-BD85-2C907137D33C}"/>
            </a:ext>
          </a:extLst>
        </xdr:cNvPr>
        <xdr:cNvSpPr/>
      </xdr:nvSpPr>
      <xdr:spPr>
        <a:xfrm>
          <a:off x="152400" y="13849350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306</xdr:row>
      <xdr:rowOff>0</xdr:rowOff>
    </xdr:from>
    <xdr:to>
      <xdr:col>6</xdr:col>
      <xdr:colOff>0</xdr:colOff>
      <xdr:row>311</xdr:row>
      <xdr:rowOff>0</xdr:rowOff>
    </xdr:to>
    <xdr:sp macro="" textlink="">
      <xdr:nvSpPr>
        <xdr:cNvPr id="40" name="Rectángulo 39">
          <a:extLst>
            <a:ext uri="{FF2B5EF4-FFF2-40B4-BE49-F238E27FC236}">
              <a16:creationId xmlns:a16="http://schemas.microsoft.com/office/drawing/2014/main" id="{63228C96-1141-B4B0-60E6-9D57868E851A}"/>
            </a:ext>
          </a:extLst>
        </xdr:cNvPr>
        <xdr:cNvSpPr/>
      </xdr:nvSpPr>
      <xdr:spPr>
        <a:xfrm>
          <a:off x="152400" y="13495972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298</xdr:row>
      <xdr:rowOff>0</xdr:rowOff>
    </xdr:from>
    <xdr:to>
      <xdr:col>6</xdr:col>
      <xdr:colOff>0</xdr:colOff>
      <xdr:row>303</xdr:row>
      <xdr:rowOff>0</xdr:rowOff>
    </xdr:to>
    <xdr:sp macro="" textlink="">
      <xdr:nvSpPr>
        <xdr:cNvPr id="39" name="Rectángulo 38">
          <a:extLst>
            <a:ext uri="{FF2B5EF4-FFF2-40B4-BE49-F238E27FC236}">
              <a16:creationId xmlns:a16="http://schemas.microsoft.com/office/drawing/2014/main" id="{C959B670-9580-7F30-3404-647B11792FCC}"/>
            </a:ext>
          </a:extLst>
        </xdr:cNvPr>
        <xdr:cNvSpPr/>
      </xdr:nvSpPr>
      <xdr:spPr>
        <a:xfrm>
          <a:off x="152400" y="13142595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290</xdr:row>
      <xdr:rowOff>0</xdr:rowOff>
    </xdr:from>
    <xdr:to>
      <xdr:col>6</xdr:col>
      <xdr:colOff>0</xdr:colOff>
      <xdr:row>295</xdr:row>
      <xdr:rowOff>0</xdr:rowOff>
    </xdr:to>
    <xdr:sp macro="" textlink="">
      <xdr:nvSpPr>
        <xdr:cNvPr id="38" name="Rectángulo 37">
          <a:extLst>
            <a:ext uri="{FF2B5EF4-FFF2-40B4-BE49-F238E27FC236}">
              <a16:creationId xmlns:a16="http://schemas.microsoft.com/office/drawing/2014/main" id="{19C967E5-D7A0-7E9C-1FDA-B33DBB3BB519}"/>
            </a:ext>
          </a:extLst>
        </xdr:cNvPr>
        <xdr:cNvSpPr/>
      </xdr:nvSpPr>
      <xdr:spPr>
        <a:xfrm>
          <a:off x="152400" y="12789217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282</xdr:row>
      <xdr:rowOff>0</xdr:rowOff>
    </xdr:from>
    <xdr:to>
      <xdr:col>6</xdr:col>
      <xdr:colOff>0</xdr:colOff>
      <xdr:row>287</xdr:row>
      <xdr:rowOff>0</xdr:rowOff>
    </xdr:to>
    <xdr:sp macro="" textlink="">
      <xdr:nvSpPr>
        <xdr:cNvPr id="37" name="Rectángulo 36">
          <a:extLst>
            <a:ext uri="{FF2B5EF4-FFF2-40B4-BE49-F238E27FC236}">
              <a16:creationId xmlns:a16="http://schemas.microsoft.com/office/drawing/2014/main" id="{EF232E11-935E-D7B9-212A-42601E13299A}"/>
            </a:ext>
          </a:extLst>
        </xdr:cNvPr>
        <xdr:cNvSpPr/>
      </xdr:nvSpPr>
      <xdr:spPr>
        <a:xfrm>
          <a:off x="152400" y="12435840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274</xdr:row>
      <xdr:rowOff>0</xdr:rowOff>
    </xdr:from>
    <xdr:to>
      <xdr:col>6</xdr:col>
      <xdr:colOff>0</xdr:colOff>
      <xdr:row>279</xdr:row>
      <xdr:rowOff>0</xdr:rowOff>
    </xdr:to>
    <xdr:sp macro="" textlink="">
      <xdr:nvSpPr>
        <xdr:cNvPr id="36" name="Rectángulo 35">
          <a:extLst>
            <a:ext uri="{FF2B5EF4-FFF2-40B4-BE49-F238E27FC236}">
              <a16:creationId xmlns:a16="http://schemas.microsoft.com/office/drawing/2014/main" id="{0D95FA50-D0E5-181B-8431-83FD4271A6AD}"/>
            </a:ext>
          </a:extLst>
        </xdr:cNvPr>
        <xdr:cNvSpPr/>
      </xdr:nvSpPr>
      <xdr:spPr>
        <a:xfrm>
          <a:off x="152400" y="12082462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266</xdr:row>
      <xdr:rowOff>0</xdr:rowOff>
    </xdr:from>
    <xdr:to>
      <xdr:col>6</xdr:col>
      <xdr:colOff>0</xdr:colOff>
      <xdr:row>271</xdr:row>
      <xdr:rowOff>0</xdr:rowOff>
    </xdr:to>
    <xdr:sp macro="" textlink="">
      <xdr:nvSpPr>
        <xdr:cNvPr id="35" name="Rectángulo 34">
          <a:extLst>
            <a:ext uri="{FF2B5EF4-FFF2-40B4-BE49-F238E27FC236}">
              <a16:creationId xmlns:a16="http://schemas.microsoft.com/office/drawing/2014/main" id="{9DEB86CC-4C25-43E2-A9DD-9FD754BA7F19}"/>
            </a:ext>
          </a:extLst>
        </xdr:cNvPr>
        <xdr:cNvSpPr/>
      </xdr:nvSpPr>
      <xdr:spPr>
        <a:xfrm>
          <a:off x="152400" y="11729085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258</xdr:row>
      <xdr:rowOff>0</xdr:rowOff>
    </xdr:from>
    <xdr:to>
      <xdr:col>6</xdr:col>
      <xdr:colOff>0</xdr:colOff>
      <xdr:row>263</xdr:row>
      <xdr:rowOff>0</xdr:rowOff>
    </xdr:to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BE57F4FF-0107-8C5A-9A53-9BB522BCA5A0}"/>
            </a:ext>
          </a:extLst>
        </xdr:cNvPr>
        <xdr:cNvSpPr/>
      </xdr:nvSpPr>
      <xdr:spPr>
        <a:xfrm>
          <a:off x="152400" y="11375707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250</xdr:row>
      <xdr:rowOff>0</xdr:rowOff>
    </xdr:from>
    <xdr:to>
      <xdr:col>6</xdr:col>
      <xdr:colOff>0</xdr:colOff>
      <xdr:row>255</xdr:row>
      <xdr:rowOff>0</xdr:rowOff>
    </xdr:to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8787AF27-7CD7-C3E9-A2FA-8485A22EAA18}"/>
            </a:ext>
          </a:extLst>
        </xdr:cNvPr>
        <xdr:cNvSpPr/>
      </xdr:nvSpPr>
      <xdr:spPr>
        <a:xfrm>
          <a:off x="152400" y="11022330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242</xdr:row>
      <xdr:rowOff>0</xdr:rowOff>
    </xdr:from>
    <xdr:to>
      <xdr:col>6</xdr:col>
      <xdr:colOff>0</xdr:colOff>
      <xdr:row>247</xdr:row>
      <xdr:rowOff>0</xdr:rowOff>
    </xdr:to>
    <xdr:sp macro="" textlink="">
      <xdr:nvSpPr>
        <xdr:cNvPr id="32" name="Rectángulo 31">
          <a:extLst>
            <a:ext uri="{FF2B5EF4-FFF2-40B4-BE49-F238E27FC236}">
              <a16:creationId xmlns:a16="http://schemas.microsoft.com/office/drawing/2014/main" id="{1DA31A47-48CB-30C1-EE25-1A34848588EC}"/>
            </a:ext>
          </a:extLst>
        </xdr:cNvPr>
        <xdr:cNvSpPr/>
      </xdr:nvSpPr>
      <xdr:spPr>
        <a:xfrm>
          <a:off x="152400" y="10668952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234</xdr:row>
      <xdr:rowOff>0</xdr:rowOff>
    </xdr:from>
    <xdr:to>
      <xdr:col>6</xdr:col>
      <xdr:colOff>0</xdr:colOff>
      <xdr:row>239</xdr:row>
      <xdr:rowOff>0</xdr:rowOff>
    </xdr:to>
    <xdr:sp macro="" textlink="">
      <xdr:nvSpPr>
        <xdr:cNvPr id="31" name="Rectángulo 30">
          <a:extLst>
            <a:ext uri="{FF2B5EF4-FFF2-40B4-BE49-F238E27FC236}">
              <a16:creationId xmlns:a16="http://schemas.microsoft.com/office/drawing/2014/main" id="{4CF97D56-5AA3-0B06-A272-D6F136AF2585}"/>
            </a:ext>
          </a:extLst>
        </xdr:cNvPr>
        <xdr:cNvSpPr/>
      </xdr:nvSpPr>
      <xdr:spPr>
        <a:xfrm>
          <a:off x="152400" y="10315575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226</xdr:row>
      <xdr:rowOff>0</xdr:rowOff>
    </xdr:from>
    <xdr:to>
      <xdr:col>6</xdr:col>
      <xdr:colOff>0</xdr:colOff>
      <xdr:row>231</xdr:row>
      <xdr:rowOff>0</xdr:rowOff>
    </xdr:to>
    <xdr:sp macro="" textlink="">
      <xdr:nvSpPr>
        <xdr:cNvPr id="30" name="Rectángulo 29">
          <a:extLst>
            <a:ext uri="{FF2B5EF4-FFF2-40B4-BE49-F238E27FC236}">
              <a16:creationId xmlns:a16="http://schemas.microsoft.com/office/drawing/2014/main" id="{F87A6B2E-91FA-0445-8D9F-16F2EE724C31}"/>
            </a:ext>
          </a:extLst>
        </xdr:cNvPr>
        <xdr:cNvSpPr/>
      </xdr:nvSpPr>
      <xdr:spPr>
        <a:xfrm>
          <a:off x="152400" y="9962197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218</xdr:row>
      <xdr:rowOff>0</xdr:rowOff>
    </xdr:from>
    <xdr:to>
      <xdr:col>6</xdr:col>
      <xdr:colOff>0</xdr:colOff>
      <xdr:row>223</xdr:row>
      <xdr:rowOff>0</xdr:rowOff>
    </xdr:to>
    <xdr:sp macro="" textlink="">
      <xdr:nvSpPr>
        <xdr:cNvPr id="29" name="Rectángulo 28">
          <a:extLst>
            <a:ext uri="{FF2B5EF4-FFF2-40B4-BE49-F238E27FC236}">
              <a16:creationId xmlns:a16="http://schemas.microsoft.com/office/drawing/2014/main" id="{F33D7829-B0B2-5741-DE5B-7E3C3195DB04}"/>
            </a:ext>
          </a:extLst>
        </xdr:cNvPr>
        <xdr:cNvSpPr/>
      </xdr:nvSpPr>
      <xdr:spPr>
        <a:xfrm>
          <a:off x="152400" y="9608820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210</xdr:row>
      <xdr:rowOff>0</xdr:rowOff>
    </xdr:from>
    <xdr:to>
      <xdr:col>6</xdr:col>
      <xdr:colOff>0</xdr:colOff>
      <xdr:row>215</xdr:row>
      <xdr:rowOff>0</xdr:rowOff>
    </xdr:to>
    <xdr:sp macro="" textlink="">
      <xdr:nvSpPr>
        <xdr:cNvPr id="28" name="Rectángulo 27">
          <a:extLst>
            <a:ext uri="{FF2B5EF4-FFF2-40B4-BE49-F238E27FC236}">
              <a16:creationId xmlns:a16="http://schemas.microsoft.com/office/drawing/2014/main" id="{0157417F-265A-E48B-B9EE-C19B64C37B3D}"/>
            </a:ext>
          </a:extLst>
        </xdr:cNvPr>
        <xdr:cNvSpPr/>
      </xdr:nvSpPr>
      <xdr:spPr>
        <a:xfrm>
          <a:off x="152400" y="9255442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202</xdr:row>
      <xdr:rowOff>0</xdr:rowOff>
    </xdr:from>
    <xdr:to>
      <xdr:col>6</xdr:col>
      <xdr:colOff>0</xdr:colOff>
      <xdr:row>207</xdr:row>
      <xdr:rowOff>0</xdr:rowOff>
    </xdr:to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178EC2C8-7A3F-FC5F-8D0F-19B27408295F}"/>
            </a:ext>
          </a:extLst>
        </xdr:cNvPr>
        <xdr:cNvSpPr/>
      </xdr:nvSpPr>
      <xdr:spPr>
        <a:xfrm>
          <a:off x="152400" y="8902065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194</xdr:row>
      <xdr:rowOff>0</xdr:rowOff>
    </xdr:from>
    <xdr:to>
      <xdr:col>6</xdr:col>
      <xdr:colOff>0</xdr:colOff>
      <xdr:row>199</xdr:row>
      <xdr:rowOff>0</xdr:rowOff>
    </xdr:to>
    <xdr:sp macro="" textlink="">
      <xdr:nvSpPr>
        <xdr:cNvPr id="26" name="Rectángulo 25">
          <a:extLst>
            <a:ext uri="{FF2B5EF4-FFF2-40B4-BE49-F238E27FC236}">
              <a16:creationId xmlns:a16="http://schemas.microsoft.com/office/drawing/2014/main" id="{84C75B72-1C4E-6CBF-E94C-CE695F9A8A78}"/>
            </a:ext>
          </a:extLst>
        </xdr:cNvPr>
        <xdr:cNvSpPr/>
      </xdr:nvSpPr>
      <xdr:spPr>
        <a:xfrm>
          <a:off x="152400" y="8548687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186</xdr:row>
      <xdr:rowOff>0</xdr:rowOff>
    </xdr:from>
    <xdr:to>
      <xdr:col>6</xdr:col>
      <xdr:colOff>0</xdr:colOff>
      <xdr:row>191</xdr:row>
      <xdr:rowOff>0</xdr:rowOff>
    </xdr:to>
    <xdr:sp macro="" textlink="">
      <xdr:nvSpPr>
        <xdr:cNvPr id="25" name="Rectángulo 24">
          <a:extLst>
            <a:ext uri="{FF2B5EF4-FFF2-40B4-BE49-F238E27FC236}">
              <a16:creationId xmlns:a16="http://schemas.microsoft.com/office/drawing/2014/main" id="{4E2FB6CC-DCC3-6A94-DA89-F85AF8DDDC5F}"/>
            </a:ext>
          </a:extLst>
        </xdr:cNvPr>
        <xdr:cNvSpPr/>
      </xdr:nvSpPr>
      <xdr:spPr>
        <a:xfrm>
          <a:off x="152400" y="8195310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178</xdr:row>
      <xdr:rowOff>0</xdr:rowOff>
    </xdr:from>
    <xdr:to>
      <xdr:col>6</xdr:col>
      <xdr:colOff>0</xdr:colOff>
      <xdr:row>183</xdr:row>
      <xdr:rowOff>0</xdr:rowOff>
    </xdr:to>
    <xdr:sp macro="" textlink="">
      <xdr:nvSpPr>
        <xdr:cNvPr id="24" name="Rectángulo 23">
          <a:extLst>
            <a:ext uri="{FF2B5EF4-FFF2-40B4-BE49-F238E27FC236}">
              <a16:creationId xmlns:a16="http://schemas.microsoft.com/office/drawing/2014/main" id="{F6177201-DE8E-D178-5B9F-1D330B71CD49}"/>
            </a:ext>
          </a:extLst>
        </xdr:cNvPr>
        <xdr:cNvSpPr/>
      </xdr:nvSpPr>
      <xdr:spPr>
        <a:xfrm>
          <a:off x="152400" y="7841932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170</xdr:row>
      <xdr:rowOff>0</xdr:rowOff>
    </xdr:from>
    <xdr:to>
      <xdr:col>6</xdr:col>
      <xdr:colOff>0</xdr:colOff>
      <xdr:row>175</xdr:row>
      <xdr:rowOff>0</xdr:rowOff>
    </xdr:to>
    <xdr:sp macro="" textlink="">
      <xdr:nvSpPr>
        <xdr:cNvPr id="23" name="Rectángulo 22">
          <a:extLst>
            <a:ext uri="{FF2B5EF4-FFF2-40B4-BE49-F238E27FC236}">
              <a16:creationId xmlns:a16="http://schemas.microsoft.com/office/drawing/2014/main" id="{2D0925C8-1199-E9B6-341B-7C998086B3C4}"/>
            </a:ext>
          </a:extLst>
        </xdr:cNvPr>
        <xdr:cNvSpPr/>
      </xdr:nvSpPr>
      <xdr:spPr>
        <a:xfrm>
          <a:off x="152400" y="7488555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162</xdr:row>
      <xdr:rowOff>0</xdr:rowOff>
    </xdr:from>
    <xdr:to>
      <xdr:col>6</xdr:col>
      <xdr:colOff>0</xdr:colOff>
      <xdr:row>167</xdr:row>
      <xdr:rowOff>0</xdr:rowOff>
    </xdr:to>
    <xdr:sp macro="" textlink="">
      <xdr:nvSpPr>
        <xdr:cNvPr id="22" name="Rectángulo 21">
          <a:extLst>
            <a:ext uri="{FF2B5EF4-FFF2-40B4-BE49-F238E27FC236}">
              <a16:creationId xmlns:a16="http://schemas.microsoft.com/office/drawing/2014/main" id="{B49EAC2E-6C07-5384-A253-EBEBCA19D8D0}"/>
            </a:ext>
          </a:extLst>
        </xdr:cNvPr>
        <xdr:cNvSpPr/>
      </xdr:nvSpPr>
      <xdr:spPr>
        <a:xfrm>
          <a:off x="152400" y="7135177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154</xdr:row>
      <xdr:rowOff>0</xdr:rowOff>
    </xdr:from>
    <xdr:to>
      <xdr:col>6</xdr:col>
      <xdr:colOff>0</xdr:colOff>
      <xdr:row>159</xdr:row>
      <xdr:rowOff>0</xdr:rowOff>
    </xdr:to>
    <xdr:sp macro="" textlink="">
      <xdr:nvSpPr>
        <xdr:cNvPr id="21" name="Rectángulo 20">
          <a:extLst>
            <a:ext uri="{FF2B5EF4-FFF2-40B4-BE49-F238E27FC236}">
              <a16:creationId xmlns:a16="http://schemas.microsoft.com/office/drawing/2014/main" id="{10C0D397-4409-02AC-F7E2-37B7CCCCFC6C}"/>
            </a:ext>
          </a:extLst>
        </xdr:cNvPr>
        <xdr:cNvSpPr/>
      </xdr:nvSpPr>
      <xdr:spPr>
        <a:xfrm>
          <a:off x="152400" y="6781800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146</xdr:row>
      <xdr:rowOff>0</xdr:rowOff>
    </xdr:from>
    <xdr:to>
      <xdr:col>6</xdr:col>
      <xdr:colOff>0</xdr:colOff>
      <xdr:row>151</xdr:row>
      <xdr:rowOff>0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D3549C11-B644-D11A-29A3-8A1B58F65A32}"/>
            </a:ext>
          </a:extLst>
        </xdr:cNvPr>
        <xdr:cNvSpPr/>
      </xdr:nvSpPr>
      <xdr:spPr>
        <a:xfrm>
          <a:off x="152400" y="6428422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6</xdr:col>
      <xdr:colOff>0</xdr:colOff>
      <xdr:row>143</xdr:row>
      <xdr:rowOff>0</xdr:rowOff>
    </xdr:to>
    <xdr:sp macro="" textlink="">
      <xdr:nvSpPr>
        <xdr:cNvPr id="19" name="Rectángulo 18">
          <a:extLst>
            <a:ext uri="{FF2B5EF4-FFF2-40B4-BE49-F238E27FC236}">
              <a16:creationId xmlns:a16="http://schemas.microsoft.com/office/drawing/2014/main" id="{711EEE58-3C62-BC9D-4C57-ADC9A1D8180B}"/>
            </a:ext>
          </a:extLst>
        </xdr:cNvPr>
        <xdr:cNvSpPr/>
      </xdr:nvSpPr>
      <xdr:spPr>
        <a:xfrm>
          <a:off x="152400" y="6075045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130</xdr:row>
      <xdr:rowOff>0</xdr:rowOff>
    </xdr:from>
    <xdr:to>
      <xdr:col>6</xdr:col>
      <xdr:colOff>0</xdr:colOff>
      <xdr:row>135</xdr:row>
      <xdr:rowOff>0</xdr:rowOff>
    </xdr:to>
    <xdr:sp macro="" textlink="">
      <xdr:nvSpPr>
        <xdr:cNvPr id="18" name="Rectángulo 17">
          <a:extLst>
            <a:ext uri="{FF2B5EF4-FFF2-40B4-BE49-F238E27FC236}">
              <a16:creationId xmlns:a16="http://schemas.microsoft.com/office/drawing/2014/main" id="{F435A362-337B-FE4E-6536-33E8C25D8A01}"/>
            </a:ext>
          </a:extLst>
        </xdr:cNvPr>
        <xdr:cNvSpPr/>
      </xdr:nvSpPr>
      <xdr:spPr>
        <a:xfrm>
          <a:off x="152400" y="5721667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122</xdr:row>
      <xdr:rowOff>0</xdr:rowOff>
    </xdr:from>
    <xdr:to>
      <xdr:col>6</xdr:col>
      <xdr:colOff>0</xdr:colOff>
      <xdr:row>127</xdr:row>
      <xdr:rowOff>0</xdr:rowOff>
    </xdr:to>
    <xdr:sp macro="" textlink="">
      <xdr:nvSpPr>
        <xdr:cNvPr id="17" name="Rectángulo 16">
          <a:extLst>
            <a:ext uri="{FF2B5EF4-FFF2-40B4-BE49-F238E27FC236}">
              <a16:creationId xmlns:a16="http://schemas.microsoft.com/office/drawing/2014/main" id="{B62DF624-AD57-1C8D-542B-293D1502B6EE}"/>
            </a:ext>
          </a:extLst>
        </xdr:cNvPr>
        <xdr:cNvSpPr/>
      </xdr:nvSpPr>
      <xdr:spPr>
        <a:xfrm>
          <a:off x="152400" y="5368290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114</xdr:row>
      <xdr:rowOff>0</xdr:rowOff>
    </xdr:from>
    <xdr:to>
      <xdr:col>6</xdr:col>
      <xdr:colOff>0</xdr:colOff>
      <xdr:row>119</xdr:row>
      <xdr:rowOff>0</xdr:rowOff>
    </xdr:to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FE6F61EE-1DE7-D13B-E498-7B462BA5BB5A}"/>
            </a:ext>
          </a:extLst>
        </xdr:cNvPr>
        <xdr:cNvSpPr/>
      </xdr:nvSpPr>
      <xdr:spPr>
        <a:xfrm>
          <a:off x="152400" y="5014912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106</xdr:row>
      <xdr:rowOff>0</xdr:rowOff>
    </xdr:from>
    <xdr:to>
      <xdr:col>6</xdr:col>
      <xdr:colOff>0</xdr:colOff>
      <xdr:row>111</xdr:row>
      <xdr:rowOff>0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2FBC1E55-FA4E-30D0-B0AE-31295FFD04BE}"/>
            </a:ext>
          </a:extLst>
        </xdr:cNvPr>
        <xdr:cNvSpPr/>
      </xdr:nvSpPr>
      <xdr:spPr>
        <a:xfrm>
          <a:off x="152400" y="4661535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98</xdr:row>
      <xdr:rowOff>0</xdr:rowOff>
    </xdr:from>
    <xdr:to>
      <xdr:col>6</xdr:col>
      <xdr:colOff>0</xdr:colOff>
      <xdr:row>103</xdr:row>
      <xdr:rowOff>0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A3A300EE-793E-C66D-88E5-4F801ECD1CBC}"/>
            </a:ext>
          </a:extLst>
        </xdr:cNvPr>
        <xdr:cNvSpPr/>
      </xdr:nvSpPr>
      <xdr:spPr>
        <a:xfrm>
          <a:off x="152400" y="4308157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90</xdr:row>
      <xdr:rowOff>0</xdr:rowOff>
    </xdr:from>
    <xdr:to>
      <xdr:col>6</xdr:col>
      <xdr:colOff>0</xdr:colOff>
      <xdr:row>95</xdr:row>
      <xdr:rowOff>0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8A8F1884-668C-410C-CC90-23B8F431D490}"/>
            </a:ext>
          </a:extLst>
        </xdr:cNvPr>
        <xdr:cNvSpPr/>
      </xdr:nvSpPr>
      <xdr:spPr>
        <a:xfrm>
          <a:off x="152400" y="3954780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82</xdr:row>
      <xdr:rowOff>0</xdr:rowOff>
    </xdr:from>
    <xdr:to>
      <xdr:col>6</xdr:col>
      <xdr:colOff>0</xdr:colOff>
      <xdr:row>87</xdr:row>
      <xdr:rowOff>0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B3971771-B5BC-8500-576F-C893350E4C7E}"/>
            </a:ext>
          </a:extLst>
        </xdr:cNvPr>
        <xdr:cNvSpPr/>
      </xdr:nvSpPr>
      <xdr:spPr>
        <a:xfrm>
          <a:off x="152400" y="3601402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74</xdr:row>
      <xdr:rowOff>0</xdr:rowOff>
    </xdr:from>
    <xdr:to>
      <xdr:col>6</xdr:col>
      <xdr:colOff>0</xdr:colOff>
      <xdr:row>79</xdr:row>
      <xdr:rowOff>0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FC9DC9C1-84D2-700E-D6BF-5750CF1525F0}"/>
            </a:ext>
          </a:extLst>
        </xdr:cNvPr>
        <xdr:cNvSpPr/>
      </xdr:nvSpPr>
      <xdr:spPr>
        <a:xfrm>
          <a:off x="152400" y="3248025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66</xdr:row>
      <xdr:rowOff>0</xdr:rowOff>
    </xdr:from>
    <xdr:to>
      <xdr:col>6</xdr:col>
      <xdr:colOff>0</xdr:colOff>
      <xdr:row>71</xdr:row>
      <xdr:rowOff>0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B59EC4D-0927-E5F3-3DDB-F253851D2942}"/>
            </a:ext>
          </a:extLst>
        </xdr:cNvPr>
        <xdr:cNvSpPr/>
      </xdr:nvSpPr>
      <xdr:spPr>
        <a:xfrm>
          <a:off x="152400" y="2894647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58</xdr:row>
      <xdr:rowOff>0</xdr:rowOff>
    </xdr:from>
    <xdr:to>
      <xdr:col>6</xdr:col>
      <xdr:colOff>0</xdr:colOff>
      <xdr:row>63</xdr:row>
      <xdr:rowOff>0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4DF856AA-3CE3-DD7F-096E-DB13CB026819}"/>
            </a:ext>
          </a:extLst>
        </xdr:cNvPr>
        <xdr:cNvSpPr/>
      </xdr:nvSpPr>
      <xdr:spPr>
        <a:xfrm>
          <a:off x="152400" y="2541270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6</xdr:col>
      <xdr:colOff>0</xdr:colOff>
      <xdr:row>55</xdr:row>
      <xdr:rowOff>0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7F7BD81B-09A1-4755-3B76-A7FABDA3C452}"/>
            </a:ext>
          </a:extLst>
        </xdr:cNvPr>
        <xdr:cNvSpPr/>
      </xdr:nvSpPr>
      <xdr:spPr>
        <a:xfrm>
          <a:off x="152400" y="2187892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42</xdr:row>
      <xdr:rowOff>0</xdr:rowOff>
    </xdr:from>
    <xdr:to>
      <xdr:col>6</xdr:col>
      <xdr:colOff>0</xdr:colOff>
      <xdr:row>47</xdr:row>
      <xdr:rowOff>0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4D4E5730-1301-759C-8738-638DE5572B1E}"/>
            </a:ext>
          </a:extLst>
        </xdr:cNvPr>
        <xdr:cNvSpPr/>
      </xdr:nvSpPr>
      <xdr:spPr>
        <a:xfrm>
          <a:off x="152400" y="1834515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34</xdr:row>
      <xdr:rowOff>0</xdr:rowOff>
    </xdr:from>
    <xdr:to>
      <xdr:col>6</xdr:col>
      <xdr:colOff>0</xdr:colOff>
      <xdr:row>39</xdr:row>
      <xdr:rowOff>0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B3E2C7FA-9335-0FC1-BC95-B52A66EA1EBE}"/>
            </a:ext>
          </a:extLst>
        </xdr:cNvPr>
        <xdr:cNvSpPr/>
      </xdr:nvSpPr>
      <xdr:spPr>
        <a:xfrm>
          <a:off x="152400" y="1481137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6</xdr:col>
      <xdr:colOff>0</xdr:colOff>
      <xdr:row>31</xdr:row>
      <xdr:rowOff>0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7B890D0F-6925-ADB1-D428-4F6F28578A3A}"/>
            </a:ext>
          </a:extLst>
        </xdr:cNvPr>
        <xdr:cNvSpPr/>
      </xdr:nvSpPr>
      <xdr:spPr>
        <a:xfrm>
          <a:off x="152400" y="1127760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18</xdr:row>
      <xdr:rowOff>0</xdr:rowOff>
    </xdr:from>
    <xdr:to>
      <xdr:col>6</xdr:col>
      <xdr:colOff>0</xdr:colOff>
      <xdr:row>23</xdr:row>
      <xdr:rowOff>0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D46B4E95-EEB5-8C67-7BC6-FF6E5D65A30D}"/>
            </a:ext>
          </a:extLst>
        </xdr:cNvPr>
        <xdr:cNvSpPr/>
      </xdr:nvSpPr>
      <xdr:spPr>
        <a:xfrm>
          <a:off x="152400" y="774382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10</xdr:row>
      <xdr:rowOff>0</xdr:rowOff>
    </xdr:from>
    <xdr:to>
      <xdr:col>6</xdr:col>
      <xdr:colOff>0</xdr:colOff>
      <xdr:row>15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5D5038A-7230-A62F-3B28-493416B96E2D}"/>
            </a:ext>
          </a:extLst>
        </xdr:cNvPr>
        <xdr:cNvSpPr/>
      </xdr:nvSpPr>
      <xdr:spPr>
        <a:xfrm>
          <a:off x="152400" y="4210050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E95BDD0-C218-8543-840F-53E204EE5186}"/>
            </a:ext>
          </a:extLst>
        </xdr:cNvPr>
        <xdr:cNvSpPr/>
      </xdr:nvSpPr>
      <xdr:spPr>
        <a:xfrm>
          <a:off x="152400" y="676275"/>
          <a:ext cx="3771900" cy="2381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0000"/>
          </a:blip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95250</xdr:rowOff>
        </xdr:from>
        <xdr:to>
          <xdr:col>8</xdr:col>
          <xdr:colOff>333375</xdr:colOff>
          <xdr:row>2</xdr:row>
          <xdr:rowOff>104775</xdr:rowOff>
        </xdr:to>
        <xdr:sp macro="" textlink="">
          <xdr:nvSpPr>
            <xdr:cNvPr id="2049" name="numero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10</xdr:row>
          <xdr:rowOff>28575</xdr:rowOff>
        </xdr:from>
        <xdr:to>
          <xdr:col>17</xdr:col>
          <xdr:colOff>361950</xdr:colOff>
          <xdr:row>11</xdr:row>
          <xdr:rowOff>28575</xdr:rowOff>
        </xdr:to>
        <xdr:sp macro="" textlink="">
          <xdr:nvSpPr>
            <xdr:cNvPr id="2050" name="limpia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114300</xdr:colOff>
          <xdr:row>6</xdr:row>
          <xdr:rowOff>276225</xdr:rowOff>
        </xdr:from>
        <xdr:to>
          <xdr:col>14</xdr:col>
          <xdr:colOff>476250</xdr:colOff>
          <xdr:row>8</xdr:row>
          <xdr:rowOff>161925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657225</xdr:colOff>
          <xdr:row>6</xdr:row>
          <xdr:rowOff>57150</xdr:rowOff>
        </xdr:from>
        <xdr:to>
          <xdr:col>19</xdr:col>
          <xdr:colOff>209550</xdr:colOff>
          <xdr:row>7</xdr:row>
          <xdr:rowOff>76200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</xdr:row>
          <xdr:rowOff>85725</xdr:rowOff>
        </xdr:from>
        <xdr:to>
          <xdr:col>17</xdr:col>
          <xdr:colOff>542925</xdr:colOff>
          <xdr:row>9</xdr:row>
          <xdr:rowOff>95250</xdr:rowOff>
        </xdr:to>
        <xdr:sp macro="" textlink="">
          <xdr:nvSpPr>
            <xdr:cNvPr id="2053" name="inicia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1171575</xdr:colOff>
          <xdr:row>2</xdr:row>
          <xdr:rowOff>238125</xdr:rowOff>
        </xdr:from>
        <xdr:to>
          <xdr:col>17</xdr:col>
          <xdr:colOff>419100</xdr:colOff>
          <xdr:row>3</xdr:row>
          <xdr:rowOff>238125</xdr:rowOff>
        </xdr:to>
        <xdr:sp macro="" textlink="">
          <xdr:nvSpPr>
            <xdr:cNvPr id="2054" name="CommandButton2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1181100</xdr:colOff>
          <xdr:row>4</xdr:row>
          <xdr:rowOff>114300</xdr:rowOff>
        </xdr:from>
        <xdr:to>
          <xdr:col>17</xdr:col>
          <xdr:colOff>419100</xdr:colOff>
          <xdr:row>5</xdr:row>
          <xdr:rowOff>104775</xdr:rowOff>
        </xdr:to>
        <xdr:sp macro="" textlink="">
          <xdr:nvSpPr>
            <xdr:cNvPr id="2055" name="CommandButton3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5</xdr:row>
          <xdr:rowOff>285750</xdr:rowOff>
        </xdr:from>
        <xdr:to>
          <xdr:col>17</xdr:col>
          <xdr:colOff>419100</xdr:colOff>
          <xdr:row>7</xdr:row>
          <xdr:rowOff>9525</xdr:rowOff>
        </xdr:to>
        <xdr:sp macro="" textlink="">
          <xdr:nvSpPr>
            <xdr:cNvPr id="2056" name="CommandButton4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742950</xdr:colOff>
          <xdr:row>2</xdr:row>
          <xdr:rowOff>219075</xdr:rowOff>
        </xdr:from>
        <xdr:to>
          <xdr:col>19</xdr:col>
          <xdr:colOff>133350</xdr:colOff>
          <xdr:row>3</xdr:row>
          <xdr:rowOff>219075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228368</xdr:colOff>
      <xdr:row>14</xdr:row>
      <xdr:rowOff>44822</xdr:rowOff>
    </xdr:from>
    <xdr:to>
      <xdr:col>7</xdr:col>
      <xdr:colOff>421663</xdr:colOff>
      <xdr:row>16</xdr:row>
      <xdr:rowOff>112060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7162" y="4190998"/>
          <a:ext cx="776001" cy="66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66675</xdr:rowOff>
        </xdr:from>
        <xdr:to>
          <xdr:col>13</xdr:col>
          <xdr:colOff>495300</xdr:colOff>
          <xdr:row>4</xdr:row>
          <xdr:rowOff>85725</xdr:rowOff>
        </xdr:to>
        <xdr:sp macro="" textlink="">
          <xdr:nvSpPr>
            <xdr:cNvPr id="2058" name="CommandButton6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20</xdr:col>
      <xdr:colOff>347387</xdr:colOff>
      <xdr:row>16</xdr:row>
      <xdr:rowOff>171206</xdr:rowOff>
    </xdr:from>
    <xdr:to>
      <xdr:col>21</xdr:col>
      <xdr:colOff>526677</xdr:colOff>
      <xdr:row>21</xdr:row>
      <xdr:rowOff>22411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94446" y="4911294"/>
          <a:ext cx="941290" cy="8149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369792</xdr:colOff>
      <xdr:row>1</xdr:row>
      <xdr:rowOff>218111</xdr:rowOff>
    </xdr:from>
    <xdr:to>
      <xdr:col>21</xdr:col>
      <xdr:colOff>717175</xdr:colOff>
      <xdr:row>4</xdr:row>
      <xdr:rowOff>201706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16851" y="520670"/>
          <a:ext cx="1109383" cy="8688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521620</xdr:colOff>
      <xdr:row>17</xdr:row>
      <xdr:rowOff>145676</xdr:rowOff>
    </xdr:from>
    <xdr:to>
      <xdr:col>13</xdr:col>
      <xdr:colOff>424054</xdr:colOff>
      <xdr:row>21</xdr:row>
      <xdr:rowOff>56030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46855" y="5076264"/>
          <a:ext cx="664434" cy="6835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56030</xdr:colOff>
      <xdr:row>19</xdr:row>
      <xdr:rowOff>71517</xdr:rowOff>
    </xdr:from>
    <xdr:to>
      <xdr:col>19</xdr:col>
      <xdr:colOff>291353</xdr:colOff>
      <xdr:row>24</xdr:row>
      <xdr:rowOff>22414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79089" y="5394311"/>
          <a:ext cx="997323" cy="9033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481854</xdr:colOff>
      <xdr:row>5</xdr:row>
      <xdr:rowOff>264986</xdr:rowOff>
    </xdr:from>
    <xdr:to>
      <xdr:col>21</xdr:col>
      <xdr:colOff>689537</xdr:colOff>
      <xdr:row>8</xdr:row>
      <xdr:rowOff>246530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28913" y="1755368"/>
          <a:ext cx="969683" cy="8556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425824</xdr:colOff>
      <xdr:row>9</xdr:row>
      <xdr:rowOff>145548</xdr:rowOff>
    </xdr:from>
    <xdr:to>
      <xdr:col>20</xdr:col>
      <xdr:colOff>644338</xdr:colOff>
      <xdr:row>12</xdr:row>
      <xdr:rowOff>115980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10883" y="2801342"/>
          <a:ext cx="980514" cy="8669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549090</xdr:colOff>
      <xdr:row>20</xdr:row>
      <xdr:rowOff>107619</xdr:rowOff>
    </xdr:from>
    <xdr:to>
      <xdr:col>12</xdr:col>
      <xdr:colOff>537884</xdr:colOff>
      <xdr:row>24</xdr:row>
      <xdr:rowOff>39141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8708" y="5620913"/>
          <a:ext cx="784411" cy="6935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323849</xdr:colOff>
          <xdr:row>6</xdr:row>
          <xdr:rowOff>85725</xdr:rowOff>
        </xdr:from>
        <xdr:to>
          <xdr:col>22</xdr:col>
          <xdr:colOff>466724</xdr:colOff>
          <xdr:row>9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780.469283680555" createdVersion="7" refreshedVersion="6" minRefreshableVersion="3" recordCount="100" xr:uid="{A8792BA2-169E-4570-8B66-E43202CAA9BB}">
  <cacheSource type="worksheet">
    <worksheetSource ref="A1:B101" sheet="Vendidos"/>
  </cacheSource>
  <cacheFields count="2">
    <cacheField name="Numero Carton " numFmtId="0">
      <sharedItems containsSemiMixedTypes="0" containsString="0" containsNumber="1" containsInteger="1" minValue="1" maxValue="100" count="10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</sharedItems>
    </cacheField>
    <cacheField name="Comprador" numFmtId="0">
      <sharedItems containsBlank="1" count="96">
        <s v="Evelin"/>
        <s v="Marielis"/>
        <s v="maria"/>
        <s v="jhonathan"/>
        <s v="yaneth"/>
        <m/>
        <s v="virmelis"/>
        <s v="yennys"/>
        <s v="Eilin"/>
        <s v="anny"/>
        <s v="makanaki"/>
        <s v="Oralis"/>
        <s v="santiago"/>
        <s v="migdalia"/>
        <s v="everson"/>
        <s v="cangrejo"/>
        <s v="miurka"/>
        <s v="yamilet"/>
        <s v="marcial"/>
        <s v="jaydelimar"/>
        <s v="margloris"/>
        <s v="rosmaira"/>
        <s v="Coco" u="1"/>
        <s v="Cristian" u="1"/>
        <s v="Mariangelis" u="1"/>
        <s v="marielys" u="1"/>
        <s v="URBANO" u="1"/>
        <s v="MAKANNAKI" u="1"/>
        <s v="yibsmar" u="1"/>
        <s v="Dilian" u="1"/>
        <s v="Nubia" u="1"/>
        <s v="evelyn" u="1"/>
        <s v="Majordi" u="1"/>
        <s v="Mileydis" u="1"/>
        <s v="Ynes" u="1"/>
        <s v="Lenise" u="1"/>
        <s v="Berenguel" u="1"/>
        <s v="JAIDELIMAR" u="1"/>
        <s v="Andreina" u="1"/>
        <s v="BONI SALAZAR" u="1"/>
        <s v="Anchi" u="1"/>
        <s v="Mayordi" u="1"/>
        <s v="virmelys" u="1"/>
        <s v="David" u="1"/>
        <s v="Dorival" u="1"/>
        <s v="Miurca" u="1"/>
        <s v="Neuma" u="1"/>
        <s v="gladi" u="1"/>
        <s v="Nilka" u="1"/>
        <s v="Eilyn manrique" u="1"/>
        <s v="saray" u="1"/>
        <s v="Edecia" u="1"/>
        <s v="Bonifacio" u="1"/>
        <s v="minda" u="1"/>
        <s v="Eilyn" u="1"/>
        <s v="jaidelymar" u="1"/>
        <s v="Susana" u="1"/>
        <s v="Alcides" u="1"/>
        <s v="La puya" u="1"/>
        <s v="Albanellys" u="1"/>
        <s v="Sarai" u="1"/>
        <s v="keilimar" u="1"/>
        <s v="Mileidys" u="1"/>
        <s v="Alba" u="1"/>
        <s v="milagros" u="1"/>
        <s v="eilimar" u="1"/>
        <s v="amarilis" u="1"/>
        <s v="Yolanda" u="1"/>
        <s v="Makaniaki" u="1"/>
        <s v="Eiliyn" u="1"/>
        <s v="Marial" u="1"/>
        <s v="Majordis" u="1"/>
        <s v="Yennis" u="1"/>
        <s v="Yannelis" u="1"/>
        <s v="Yamileth" u="1"/>
        <s v="oralys" u="1"/>
        <s v="Leonides" u="1"/>
        <s v="Iris" u="1"/>
        <s v="teresa" u="1"/>
        <s v="Nohelis" u="1"/>
        <s v="Yoelis" u="1"/>
        <s v="migdelis" u="1"/>
        <s v="Albanis" u="1"/>
        <s v="Albanellis" u="1"/>
        <s v="Odalys" u="1"/>
        <s v="Roseglis" u="1"/>
        <s v="Trino" u="1"/>
        <s v="keila" u="1"/>
        <s v="Richard" u="1"/>
        <s v="Pauda" u="1"/>
        <s v="Grismaris" u="1"/>
        <s v="Victor Aguey" u="1"/>
        <s v="Milagros A" u="1"/>
        <s v="keillimar" u="1"/>
        <s v="Alejandro" u="1"/>
        <s v="Mireli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x v="0"/>
    <x v="0"/>
  </r>
  <r>
    <x v="1"/>
    <x v="1"/>
  </r>
  <r>
    <x v="2"/>
    <x v="2"/>
  </r>
  <r>
    <x v="3"/>
    <x v="3"/>
  </r>
  <r>
    <x v="4"/>
    <x v="3"/>
  </r>
  <r>
    <x v="5"/>
    <x v="3"/>
  </r>
  <r>
    <x v="6"/>
    <x v="4"/>
  </r>
  <r>
    <x v="7"/>
    <x v="4"/>
  </r>
  <r>
    <x v="8"/>
    <x v="4"/>
  </r>
  <r>
    <x v="9"/>
    <x v="5"/>
  </r>
  <r>
    <x v="10"/>
    <x v="6"/>
  </r>
  <r>
    <x v="11"/>
    <x v="7"/>
  </r>
  <r>
    <x v="12"/>
    <x v="8"/>
  </r>
  <r>
    <x v="13"/>
    <x v="5"/>
  </r>
  <r>
    <x v="14"/>
    <x v="7"/>
  </r>
  <r>
    <x v="15"/>
    <x v="4"/>
  </r>
  <r>
    <x v="16"/>
    <x v="9"/>
  </r>
  <r>
    <x v="17"/>
    <x v="4"/>
  </r>
  <r>
    <x v="18"/>
    <x v="6"/>
  </r>
  <r>
    <x v="19"/>
    <x v="1"/>
  </r>
  <r>
    <x v="20"/>
    <x v="10"/>
  </r>
  <r>
    <x v="21"/>
    <x v="11"/>
  </r>
  <r>
    <x v="22"/>
    <x v="4"/>
  </r>
  <r>
    <x v="23"/>
    <x v="12"/>
  </r>
  <r>
    <x v="24"/>
    <x v="5"/>
  </r>
  <r>
    <x v="25"/>
    <x v="4"/>
  </r>
  <r>
    <x v="26"/>
    <x v="13"/>
  </r>
  <r>
    <x v="27"/>
    <x v="5"/>
  </r>
  <r>
    <x v="28"/>
    <x v="5"/>
  </r>
  <r>
    <x v="29"/>
    <x v="14"/>
  </r>
  <r>
    <x v="30"/>
    <x v="10"/>
  </r>
  <r>
    <x v="31"/>
    <x v="5"/>
  </r>
  <r>
    <x v="32"/>
    <x v="5"/>
  </r>
  <r>
    <x v="33"/>
    <x v="5"/>
  </r>
  <r>
    <x v="34"/>
    <x v="5"/>
  </r>
  <r>
    <x v="35"/>
    <x v="5"/>
  </r>
  <r>
    <x v="36"/>
    <x v="7"/>
  </r>
  <r>
    <x v="37"/>
    <x v="5"/>
  </r>
  <r>
    <x v="38"/>
    <x v="0"/>
  </r>
  <r>
    <x v="39"/>
    <x v="15"/>
  </r>
  <r>
    <x v="40"/>
    <x v="5"/>
  </r>
  <r>
    <x v="41"/>
    <x v="0"/>
  </r>
  <r>
    <x v="42"/>
    <x v="8"/>
  </r>
  <r>
    <x v="43"/>
    <x v="5"/>
  </r>
  <r>
    <x v="44"/>
    <x v="16"/>
  </r>
  <r>
    <x v="45"/>
    <x v="5"/>
  </r>
  <r>
    <x v="46"/>
    <x v="2"/>
  </r>
  <r>
    <x v="47"/>
    <x v="17"/>
  </r>
  <r>
    <x v="48"/>
    <x v="0"/>
  </r>
  <r>
    <x v="49"/>
    <x v="8"/>
  </r>
  <r>
    <x v="50"/>
    <x v="5"/>
  </r>
  <r>
    <x v="51"/>
    <x v="5"/>
  </r>
  <r>
    <x v="52"/>
    <x v="18"/>
  </r>
  <r>
    <x v="53"/>
    <x v="15"/>
  </r>
  <r>
    <x v="54"/>
    <x v="19"/>
  </r>
  <r>
    <x v="55"/>
    <x v="13"/>
  </r>
  <r>
    <x v="56"/>
    <x v="5"/>
  </r>
  <r>
    <x v="57"/>
    <x v="10"/>
  </r>
  <r>
    <x v="58"/>
    <x v="5"/>
  </r>
  <r>
    <x v="59"/>
    <x v="14"/>
  </r>
  <r>
    <x v="60"/>
    <x v="20"/>
  </r>
  <r>
    <x v="61"/>
    <x v="5"/>
  </r>
  <r>
    <x v="62"/>
    <x v="12"/>
  </r>
  <r>
    <x v="63"/>
    <x v="5"/>
  </r>
  <r>
    <x v="64"/>
    <x v="18"/>
  </r>
  <r>
    <x v="65"/>
    <x v="5"/>
  </r>
  <r>
    <x v="66"/>
    <x v="5"/>
  </r>
  <r>
    <x v="67"/>
    <x v="5"/>
  </r>
  <r>
    <x v="68"/>
    <x v="5"/>
  </r>
  <r>
    <x v="69"/>
    <x v="5"/>
  </r>
  <r>
    <x v="70"/>
    <x v="20"/>
  </r>
  <r>
    <x v="71"/>
    <x v="5"/>
  </r>
  <r>
    <x v="72"/>
    <x v="15"/>
  </r>
  <r>
    <x v="73"/>
    <x v="5"/>
  </r>
  <r>
    <x v="74"/>
    <x v="20"/>
  </r>
  <r>
    <x v="75"/>
    <x v="2"/>
  </r>
  <r>
    <x v="76"/>
    <x v="6"/>
  </r>
  <r>
    <x v="77"/>
    <x v="5"/>
  </r>
  <r>
    <x v="78"/>
    <x v="16"/>
  </r>
  <r>
    <x v="79"/>
    <x v="5"/>
  </r>
  <r>
    <x v="80"/>
    <x v="5"/>
  </r>
  <r>
    <x v="81"/>
    <x v="9"/>
  </r>
  <r>
    <x v="82"/>
    <x v="8"/>
  </r>
  <r>
    <x v="83"/>
    <x v="2"/>
  </r>
  <r>
    <x v="84"/>
    <x v="5"/>
  </r>
  <r>
    <x v="85"/>
    <x v="5"/>
  </r>
  <r>
    <x v="86"/>
    <x v="21"/>
  </r>
  <r>
    <x v="87"/>
    <x v="5"/>
  </r>
  <r>
    <x v="88"/>
    <x v="21"/>
  </r>
  <r>
    <x v="89"/>
    <x v="5"/>
  </r>
  <r>
    <x v="90"/>
    <x v="5"/>
  </r>
  <r>
    <x v="91"/>
    <x v="5"/>
  </r>
  <r>
    <x v="92"/>
    <x v="5"/>
  </r>
  <r>
    <x v="93"/>
    <x v="5"/>
  </r>
  <r>
    <x v="94"/>
    <x v="13"/>
  </r>
  <r>
    <x v="95"/>
    <x v="5"/>
  </r>
  <r>
    <x v="96"/>
    <x v="5"/>
  </r>
  <r>
    <x v="97"/>
    <x v="5"/>
  </r>
  <r>
    <x v="98"/>
    <x v="4"/>
  </r>
  <r>
    <x v="99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3EE440-CAC1-4358-9CC7-14F032CFC71F}" name="TablaDinámica3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multipleFieldFilters="0">
  <location ref="A3:A7" firstHeaderRow="1" firstDataRow="1" firstDataCol="1" rowPageCount="1" colPageCount="1"/>
  <pivotFields count="2">
    <pivotField axis="axisRow" showAll="0" defaultSubtotal="0">
      <items count="10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</items>
    </pivotField>
    <pivotField axis="axisPage" showAll="0">
      <items count="97">
        <item m="1" x="63"/>
        <item m="1" x="57"/>
        <item m="1" x="22"/>
        <item m="1" x="29"/>
        <item m="1" x="54"/>
        <item m="1" x="49"/>
        <item x="18"/>
        <item x="20"/>
        <item x="2"/>
        <item m="1" x="24"/>
        <item m="1" x="64"/>
        <item m="1" x="62"/>
        <item m="1" x="33"/>
        <item m="1" x="48"/>
        <item m="1" x="79"/>
        <item m="1" x="84"/>
        <item m="1" x="89"/>
        <item m="1" x="91"/>
        <item m="1" x="34"/>
        <item m="1" x="67"/>
        <item x="5"/>
        <item m="1" x="83"/>
        <item m="1" x="75"/>
        <item m="1" x="50"/>
        <item m="1" x="85"/>
        <item x="14"/>
        <item m="1" x="38"/>
        <item x="17"/>
        <item x="7"/>
        <item m="1" x="69"/>
        <item x="4"/>
        <item m="1" x="74"/>
        <item m="1" x="44"/>
        <item x="10"/>
        <item m="1" x="56"/>
        <item m="1" x="90"/>
        <item x="15"/>
        <item m="1" x="73"/>
        <item m="1" x="88"/>
        <item m="1" x="41"/>
        <item m="1" x="31"/>
        <item m="1" x="76"/>
        <item m="1" x="37"/>
        <item m="1" x="59"/>
        <item m="1" x="32"/>
        <item m="1" x="61"/>
        <item m="1" x="72"/>
        <item m="1" x="35"/>
        <item m="1" x="51"/>
        <item m="1" x="58"/>
        <item m="1" x="71"/>
        <item m="1" x="94"/>
        <item m="1" x="77"/>
        <item m="1" x="40"/>
        <item m="1" x="70"/>
        <item m="1" x="78"/>
        <item m="1" x="95"/>
        <item x="16"/>
        <item m="1" x="92"/>
        <item m="1" x="81"/>
        <item m="1" x="65"/>
        <item x="11"/>
        <item m="1" x="43"/>
        <item m="1" x="93"/>
        <item m="1" x="30"/>
        <item m="1" x="23"/>
        <item m="1" x="80"/>
        <item m="1" x="28"/>
        <item m="1" x="26"/>
        <item m="1" x="60"/>
        <item x="8"/>
        <item x="19"/>
        <item m="1" x="39"/>
        <item m="1" x="27"/>
        <item x="13"/>
        <item m="1" x="87"/>
        <item m="1" x="68"/>
        <item m="1" x="52"/>
        <item m="1" x="82"/>
        <item x="9"/>
        <item m="1" x="53"/>
        <item m="1" x="25"/>
        <item m="1" x="46"/>
        <item m="1" x="66"/>
        <item x="21"/>
        <item m="1" x="36"/>
        <item m="1" x="86"/>
        <item m="1" x="45"/>
        <item m="1" x="47"/>
        <item x="1"/>
        <item x="0"/>
        <item x="6"/>
        <item m="1" x="55"/>
        <item m="1" x="42"/>
        <item x="3"/>
        <item x="12"/>
        <item t="default"/>
      </items>
    </pivotField>
  </pivotFields>
  <rowFields count="1">
    <field x="0"/>
  </rowFields>
  <rowItems count="4">
    <i>
      <x v="39"/>
    </i>
    <i>
      <x v="53"/>
    </i>
    <i>
      <x v="72"/>
    </i>
    <i t="grand">
      <x/>
    </i>
  </rowItems>
  <colItems count="1">
    <i/>
  </colItems>
  <pageFields count="1">
    <pageField fld="1" item="36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17" Type="http://schemas.openxmlformats.org/officeDocument/2006/relationships/image" Target="../media/image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4.xml"/><Relationship Id="rId19" Type="http://schemas.openxmlformats.org/officeDocument/2006/relationships/image" Target="../media/image9.emf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5070E-8CD2-495B-8728-EBE26FA8F686}">
  <sheetPr codeName="Hoja9"/>
  <dimension ref="B1:F808"/>
  <sheetViews>
    <sheetView tabSelected="1" topLeftCell="A25" workbookViewId="0">
      <selection activeCell="H37" sqref="H37"/>
    </sheetView>
  </sheetViews>
  <sheetFormatPr baseColWidth="10" defaultRowHeight="15" x14ac:dyDescent="0.25"/>
  <cols>
    <col min="1" max="1" width="2.28515625" customWidth="1"/>
    <col min="2" max="2" width="10.85546875" style="2" bestFit="1" customWidth="1"/>
    <col min="3" max="6" width="11.42578125" style="2"/>
  </cols>
  <sheetData>
    <row r="1" spans="2:6" ht="15.75" thickBot="1" x14ac:dyDescent="0.3"/>
    <row r="2" spans="2:6" ht="37.5" customHeight="1" thickBot="1" x14ac:dyDescent="0.3">
      <c r="B2" s="23" t="s">
        <v>0</v>
      </c>
      <c r="C2" s="24" t="s">
        <v>1</v>
      </c>
      <c r="D2" s="24" t="s">
        <v>2</v>
      </c>
      <c r="E2" s="24" t="s">
        <v>3</v>
      </c>
      <c r="F2" s="25" t="s">
        <v>4</v>
      </c>
    </row>
    <row r="3" spans="2:6" ht="37.5" customHeight="1" x14ac:dyDescent="0.25">
      <c r="B3" s="26">
        <v>11</v>
      </c>
      <c r="C3" s="27">
        <v>27</v>
      </c>
      <c r="D3" s="27">
        <v>43</v>
      </c>
      <c r="E3" s="27">
        <v>59</v>
      </c>
      <c r="F3" s="22">
        <v>72</v>
      </c>
    </row>
    <row r="4" spans="2:6" ht="37.5" customHeight="1" thickBot="1" x14ac:dyDescent="0.3">
      <c r="B4" s="28">
        <v>9</v>
      </c>
      <c r="C4" s="29">
        <v>28</v>
      </c>
      <c r="D4" s="30">
        <v>42</v>
      </c>
      <c r="E4" s="29">
        <v>46</v>
      </c>
      <c r="F4" s="31">
        <v>61</v>
      </c>
    </row>
    <row r="5" spans="2:6" ht="37.5" customHeight="1" thickBot="1" x14ac:dyDescent="0.3">
      <c r="B5" s="28">
        <v>5</v>
      </c>
      <c r="C5" s="32">
        <v>26</v>
      </c>
      <c r="D5" s="18" t="s">
        <v>48</v>
      </c>
      <c r="E5" s="33">
        <v>60</v>
      </c>
      <c r="F5" s="31">
        <v>69</v>
      </c>
    </row>
    <row r="6" spans="2:6" ht="37.5" customHeight="1" x14ac:dyDescent="0.25">
      <c r="B6" s="28">
        <v>12</v>
      </c>
      <c r="C6" s="29">
        <v>16</v>
      </c>
      <c r="D6" s="27">
        <v>36</v>
      </c>
      <c r="E6" s="29">
        <v>51</v>
      </c>
      <c r="F6" s="31">
        <v>68</v>
      </c>
    </row>
    <row r="7" spans="2:6" ht="37.5" customHeight="1" thickBot="1" x14ac:dyDescent="0.3">
      <c r="B7" s="34">
        <v>1</v>
      </c>
      <c r="C7" s="30">
        <v>22</v>
      </c>
      <c r="D7" s="30">
        <v>45</v>
      </c>
      <c r="E7" s="30">
        <v>53</v>
      </c>
      <c r="F7" s="35">
        <v>65</v>
      </c>
    </row>
    <row r="8" spans="2:6" ht="37.5" customHeight="1" thickBot="1" x14ac:dyDescent="0.3">
      <c r="B8" s="36" t="s">
        <v>10</v>
      </c>
      <c r="C8" s="37">
        <v>1</v>
      </c>
      <c r="D8" s="37"/>
      <c r="E8" s="142" t="s">
        <v>144</v>
      </c>
      <c r="F8" s="143"/>
    </row>
    <row r="9" spans="2:6" ht="15.75" thickBot="1" x14ac:dyDescent="0.3">
      <c r="B9" s="38"/>
      <c r="C9" s="38"/>
      <c r="D9" s="38"/>
      <c r="E9" s="38"/>
      <c r="F9" s="38"/>
    </row>
    <row r="10" spans="2:6" ht="37.5" customHeight="1" thickBot="1" x14ac:dyDescent="0.3">
      <c r="B10" s="23" t="s">
        <v>0</v>
      </c>
      <c r="C10" s="24" t="s">
        <v>1</v>
      </c>
      <c r="D10" s="24" t="s">
        <v>2</v>
      </c>
      <c r="E10" s="24" t="s">
        <v>3</v>
      </c>
      <c r="F10" s="25" t="s">
        <v>4</v>
      </c>
    </row>
    <row r="11" spans="2:6" ht="37.5" customHeight="1" x14ac:dyDescent="0.25">
      <c r="B11" s="26">
        <v>10</v>
      </c>
      <c r="C11" s="27">
        <v>30</v>
      </c>
      <c r="D11" s="27">
        <v>32</v>
      </c>
      <c r="E11" s="27">
        <v>54</v>
      </c>
      <c r="F11" s="22">
        <v>65</v>
      </c>
    </row>
    <row r="12" spans="2:6" ht="37.5" customHeight="1" thickBot="1" x14ac:dyDescent="0.3">
      <c r="B12" s="28">
        <v>4</v>
      </c>
      <c r="C12" s="29">
        <v>29</v>
      </c>
      <c r="D12" s="30">
        <v>45</v>
      </c>
      <c r="E12" s="29">
        <v>47</v>
      </c>
      <c r="F12" s="31">
        <v>66</v>
      </c>
    </row>
    <row r="13" spans="2:6" ht="37.5" customHeight="1" thickBot="1" x14ac:dyDescent="0.3">
      <c r="B13" s="28">
        <v>5</v>
      </c>
      <c r="C13" s="32">
        <v>19</v>
      </c>
      <c r="D13" s="18" t="s">
        <v>48</v>
      </c>
      <c r="E13" s="33">
        <v>57</v>
      </c>
      <c r="F13" s="31">
        <v>75</v>
      </c>
    </row>
    <row r="14" spans="2:6" ht="37.5" customHeight="1" x14ac:dyDescent="0.25">
      <c r="B14" s="28">
        <v>13</v>
      </c>
      <c r="C14" s="29">
        <v>26</v>
      </c>
      <c r="D14" s="27">
        <v>41</v>
      </c>
      <c r="E14" s="29">
        <v>50</v>
      </c>
      <c r="F14" s="31">
        <v>67</v>
      </c>
    </row>
    <row r="15" spans="2:6" ht="37.5" customHeight="1" thickBot="1" x14ac:dyDescent="0.3">
      <c r="B15" s="34">
        <v>9</v>
      </c>
      <c r="C15" s="30">
        <v>24</v>
      </c>
      <c r="D15" s="30">
        <v>31</v>
      </c>
      <c r="E15" s="30">
        <v>46</v>
      </c>
      <c r="F15" s="35">
        <v>63</v>
      </c>
    </row>
    <row r="16" spans="2:6" ht="37.5" customHeight="1" thickBot="1" x14ac:dyDescent="0.3">
      <c r="B16" s="36" t="s">
        <v>10</v>
      </c>
      <c r="C16" s="37">
        <v>2</v>
      </c>
      <c r="D16" s="37"/>
      <c r="E16" s="142" t="s">
        <v>144</v>
      </c>
      <c r="F16" s="143"/>
    </row>
    <row r="17" spans="2:6" ht="15.75" thickBot="1" x14ac:dyDescent="0.3">
      <c r="B17" s="38"/>
      <c r="C17" s="38"/>
      <c r="D17" s="38"/>
      <c r="E17" s="38"/>
      <c r="F17" s="38"/>
    </row>
    <row r="18" spans="2:6" ht="37.5" customHeight="1" thickBot="1" x14ac:dyDescent="0.3">
      <c r="B18" s="23" t="s">
        <v>0</v>
      </c>
      <c r="C18" s="24" t="s">
        <v>1</v>
      </c>
      <c r="D18" s="24" t="s">
        <v>2</v>
      </c>
      <c r="E18" s="24" t="s">
        <v>3</v>
      </c>
      <c r="F18" s="25" t="s">
        <v>4</v>
      </c>
    </row>
    <row r="19" spans="2:6" ht="37.5" customHeight="1" x14ac:dyDescent="0.25">
      <c r="B19" s="26">
        <v>3</v>
      </c>
      <c r="C19" s="27">
        <v>25</v>
      </c>
      <c r="D19" s="27">
        <v>37</v>
      </c>
      <c r="E19" s="27">
        <v>51</v>
      </c>
      <c r="F19" s="22">
        <v>62</v>
      </c>
    </row>
    <row r="20" spans="2:6" ht="37.5" customHeight="1" thickBot="1" x14ac:dyDescent="0.3">
      <c r="B20" s="28">
        <v>10</v>
      </c>
      <c r="C20" s="29">
        <v>19</v>
      </c>
      <c r="D20" s="30">
        <v>44</v>
      </c>
      <c r="E20" s="29">
        <v>50</v>
      </c>
      <c r="F20" s="31">
        <v>69</v>
      </c>
    </row>
    <row r="21" spans="2:6" ht="37.5" customHeight="1" thickBot="1" x14ac:dyDescent="0.3">
      <c r="B21" s="28">
        <v>7</v>
      </c>
      <c r="C21" s="32">
        <v>18</v>
      </c>
      <c r="D21" s="18" t="s">
        <v>48</v>
      </c>
      <c r="E21" s="33">
        <v>59</v>
      </c>
      <c r="F21" s="31">
        <v>71</v>
      </c>
    </row>
    <row r="22" spans="2:6" ht="37.5" customHeight="1" x14ac:dyDescent="0.25">
      <c r="B22" s="28">
        <v>11</v>
      </c>
      <c r="C22" s="29">
        <v>24</v>
      </c>
      <c r="D22" s="27">
        <v>34</v>
      </c>
      <c r="E22" s="29">
        <v>55</v>
      </c>
      <c r="F22" s="31">
        <v>74</v>
      </c>
    </row>
    <row r="23" spans="2:6" ht="37.5" customHeight="1" thickBot="1" x14ac:dyDescent="0.3">
      <c r="B23" s="34">
        <v>5</v>
      </c>
      <c r="C23" s="30">
        <v>17</v>
      </c>
      <c r="D23" s="30">
        <v>42</v>
      </c>
      <c r="E23" s="30">
        <v>52</v>
      </c>
      <c r="F23" s="35">
        <v>73</v>
      </c>
    </row>
    <row r="24" spans="2:6" ht="37.5" customHeight="1" thickBot="1" x14ac:dyDescent="0.3">
      <c r="B24" s="36" t="s">
        <v>10</v>
      </c>
      <c r="C24" s="37">
        <v>3</v>
      </c>
      <c r="D24" s="37"/>
      <c r="E24" s="142" t="s">
        <v>144</v>
      </c>
      <c r="F24" s="143"/>
    </row>
    <row r="25" spans="2:6" ht="15.75" thickBot="1" x14ac:dyDescent="0.3">
      <c r="B25" s="38"/>
      <c r="C25" s="38"/>
      <c r="D25" s="38"/>
      <c r="E25" s="38"/>
      <c r="F25" s="38"/>
    </row>
    <row r="26" spans="2:6" ht="37.5" customHeight="1" thickBot="1" x14ac:dyDescent="0.3">
      <c r="B26" s="23" t="s">
        <v>0</v>
      </c>
      <c r="C26" s="24" t="s">
        <v>1</v>
      </c>
      <c r="D26" s="24" t="s">
        <v>2</v>
      </c>
      <c r="E26" s="24" t="s">
        <v>3</v>
      </c>
      <c r="F26" s="25" t="s">
        <v>4</v>
      </c>
    </row>
    <row r="27" spans="2:6" ht="37.5" customHeight="1" x14ac:dyDescent="0.25">
      <c r="B27" s="26">
        <v>1</v>
      </c>
      <c r="C27" s="27">
        <v>23</v>
      </c>
      <c r="D27" s="27">
        <v>34</v>
      </c>
      <c r="E27" s="27">
        <v>51</v>
      </c>
      <c r="F27" s="22">
        <v>69</v>
      </c>
    </row>
    <row r="28" spans="2:6" ht="37.5" customHeight="1" thickBot="1" x14ac:dyDescent="0.3">
      <c r="B28" s="28">
        <v>9</v>
      </c>
      <c r="C28" s="29">
        <v>22</v>
      </c>
      <c r="D28" s="30">
        <v>45</v>
      </c>
      <c r="E28" s="29">
        <v>53</v>
      </c>
      <c r="F28" s="31">
        <v>63</v>
      </c>
    </row>
    <row r="29" spans="2:6" ht="37.5" customHeight="1" thickBot="1" x14ac:dyDescent="0.3">
      <c r="B29" s="28">
        <v>14</v>
      </c>
      <c r="C29" s="32">
        <v>21</v>
      </c>
      <c r="D29" s="18" t="s">
        <v>48</v>
      </c>
      <c r="E29" s="33">
        <v>48</v>
      </c>
      <c r="F29" s="31">
        <v>75</v>
      </c>
    </row>
    <row r="30" spans="2:6" ht="37.5" customHeight="1" x14ac:dyDescent="0.25">
      <c r="B30" s="28">
        <v>7</v>
      </c>
      <c r="C30" s="29">
        <v>20</v>
      </c>
      <c r="D30" s="27">
        <v>31</v>
      </c>
      <c r="E30" s="29">
        <v>49</v>
      </c>
      <c r="F30" s="31">
        <v>70</v>
      </c>
    </row>
    <row r="31" spans="2:6" ht="37.5" customHeight="1" thickBot="1" x14ac:dyDescent="0.3">
      <c r="B31" s="34">
        <v>11</v>
      </c>
      <c r="C31" s="30">
        <v>16</v>
      </c>
      <c r="D31" s="30">
        <v>36</v>
      </c>
      <c r="E31" s="30">
        <v>55</v>
      </c>
      <c r="F31" s="35">
        <v>68</v>
      </c>
    </row>
    <row r="32" spans="2:6" ht="37.5" customHeight="1" thickBot="1" x14ac:dyDescent="0.3">
      <c r="B32" s="36" t="s">
        <v>10</v>
      </c>
      <c r="C32" s="37">
        <v>4</v>
      </c>
      <c r="D32" s="37"/>
      <c r="E32" s="142" t="s">
        <v>144</v>
      </c>
      <c r="F32" s="143"/>
    </row>
    <row r="33" spans="2:6" ht="15.75" thickBot="1" x14ac:dyDescent="0.3">
      <c r="B33" s="38"/>
      <c r="C33" s="38"/>
      <c r="D33" s="38"/>
      <c r="E33" s="38"/>
      <c r="F33" s="38"/>
    </row>
    <row r="34" spans="2:6" ht="37.5" customHeight="1" thickBot="1" x14ac:dyDescent="0.3">
      <c r="B34" s="23" t="s">
        <v>0</v>
      </c>
      <c r="C34" s="24" t="s">
        <v>1</v>
      </c>
      <c r="D34" s="24" t="s">
        <v>2</v>
      </c>
      <c r="E34" s="24" t="s">
        <v>3</v>
      </c>
      <c r="F34" s="25" t="s">
        <v>4</v>
      </c>
    </row>
    <row r="35" spans="2:6" ht="37.5" customHeight="1" x14ac:dyDescent="0.25">
      <c r="B35" s="26">
        <v>6</v>
      </c>
      <c r="C35" s="27">
        <v>28</v>
      </c>
      <c r="D35" s="27">
        <v>32</v>
      </c>
      <c r="E35" s="27">
        <v>54</v>
      </c>
      <c r="F35" s="22">
        <v>67</v>
      </c>
    </row>
    <row r="36" spans="2:6" ht="37.5" customHeight="1" thickBot="1" x14ac:dyDescent="0.3">
      <c r="B36" s="28">
        <v>2</v>
      </c>
      <c r="C36" s="29">
        <v>16</v>
      </c>
      <c r="D36" s="30">
        <v>31</v>
      </c>
      <c r="E36" s="29">
        <v>58</v>
      </c>
      <c r="F36" s="31">
        <v>66</v>
      </c>
    </row>
    <row r="37" spans="2:6" ht="37.5" customHeight="1" thickBot="1" x14ac:dyDescent="0.3">
      <c r="B37" s="28">
        <v>12</v>
      </c>
      <c r="C37" s="32">
        <v>19</v>
      </c>
      <c r="D37" s="18" t="s">
        <v>48</v>
      </c>
      <c r="E37" s="33">
        <v>47</v>
      </c>
      <c r="F37" s="31">
        <v>63</v>
      </c>
    </row>
    <row r="38" spans="2:6" ht="37.5" customHeight="1" x14ac:dyDescent="0.25">
      <c r="B38" s="28">
        <v>7</v>
      </c>
      <c r="C38" s="29">
        <v>17</v>
      </c>
      <c r="D38" s="27">
        <v>39</v>
      </c>
      <c r="E38" s="29">
        <v>48</v>
      </c>
      <c r="F38" s="31">
        <v>71</v>
      </c>
    </row>
    <row r="39" spans="2:6" ht="37.5" customHeight="1" thickBot="1" x14ac:dyDescent="0.3">
      <c r="B39" s="34">
        <v>9</v>
      </c>
      <c r="C39" s="30">
        <v>20</v>
      </c>
      <c r="D39" s="30">
        <v>40</v>
      </c>
      <c r="E39" s="30">
        <v>56</v>
      </c>
      <c r="F39" s="35">
        <v>74</v>
      </c>
    </row>
    <row r="40" spans="2:6" ht="37.5" customHeight="1" thickBot="1" x14ac:dyDescent="0.3">
      <c r="B40" s="36" t="s">
        <v>10</v>
      </c>
      <c r="C40" s="37">
        <v>5</v>
      </c>
      <c r="D40" s="37"/>
      <c r="E40" s="142" t="s">
        <v>144</v>
      </c>
      <c r="F40" s="143"/>
    </row>
    <row r="41" spans="2:6" ht="15.75" thickBot="1" x14ac:dyDescent="0.3">
      <c r="B41" s="38"/>
      <c r="C41" s="38"/>
      <c r="D41" s="38"/>
      <c r="E41" s="38"/>
      <c r="F41" s="38"/>
    </row>
    <row r="42" spans="2:6" ht="37.5" customHeight="1" thickBot="1" x14ac:dyDescent="0.3">
      <c r="B42" s="23" t="s">
        <v>0</v>
      </c>
      <c r="C42" s="24" t="s">
        <v>1</v>
      </c>
      <c r="D42" s="24" t="s">
        <v>2</v>
      </c>
      <c r="E42" s="24" t="s">
        <v>3</v>
      </c>
      <c r="F42" s="25" t="s">
        <v>4</v>
      </c>
    </row>
    <row r="43" spans="2:6" ht="37.5" customHeight="1" x14ac:dyDescent="0.25">
      <c r="B43" s="26">
        <v>8</v>
      </c>
      <c r="C43" s="27">
        <v>20</v>
      </c>
      <c r="D43" s="27">
        <v>32</v>
      </c>
      <c r="E43" s="27">
        <v>57</v>
      </c>
      <c r="F43" s="22">
        <v>61</v>
      </c>
    </row>
    <row r="44" spans="2:6" ht="37.5" customHeight="1" thickBot="1" x14ac:dyDescent="0.3">
      <c r="B44" s="28">
        <v>2</v>
      </c>
      <c r="C44" s="29">
        <v>17</v>
      </c>
      <c r="D44" s="30">
        <v>37</v>
      </c>
      <c r="E44" s="29">
        <v>50</v>
      </c>
      <c r="F44" s="31">
        <v>65</v>
      </c>
    </row>
    <row r="45" spans="2:6" ht="37.5" customHeight="1" thickBot="1" x14ac:dyDescent="0.3">
      <c r="B45" s="28">
        <v>12</v>
      </c>
      <c r="C45" s="32">
        <v>24</v>
      </c>
      <c r="D45" s="18" t="s">
        <v>48</v>
      </c>
      <c r="E45" s="33">
        <v>56</v>
      </c>
      <c r="F45" s="31">
        <v>72</v>
      </c>
    </row>
    <row r="46" spans="2:6" ht="37.5" customHeight="1" x14ac:dyDescent="0.25">
      <c r="B46" s="28">
        <v>7</v>
      </c>
      <c r="C46" s="29">
        <v>18</v>
      </c>
      <c r="D46" s="27">
        <v>35</v>
      </c>
      <c r="E46" s="29">
        <v>49</v>
      </c>
      <c r="F46" s="31">
        <v>64</v>
      </c>
    </row>
    <row r="47" spans="2:6" ht="37.5" customHeight="1" thickBot="1" x14ac:dyDescent="0.3">
      <c r="B47" s="34">
        <v>4</v>
      </c>
      <c r="C47" s="30">
        <v>29</v>
      </c>
      <c r="D47" s="30">
        <v>44</v>
      </c>
      <c r="E47" s="30">
        <v>47</v>
      </c>
      <c r="F47" s="35">
        <v>68</v>
      </c>
    </row>
    <row r="48" spans="2:6" ht="37.5" customHeight="1" thickBot="1" x14ac:dyDescent="0.3">
      <c r="B48" s="36" t="s">
        <v>10</v>
      </c>
      <c r="C48" s="37">
        <v>6</v>
      </c>
      <c r="D48" s="37"/>
      <c r="E48" s="142" t="s">
        <v>144</v>
      </c>
      <c r="F48" s="143"/>
    </row>
    <row r="49" spans="2:6" ht="15.75" thickBot="1" x14ac:dyDescent="0.3">
      <c r="B49" s="38"/>
      <c r="C49" s="38"/>
      <c r="D49" s="38"/>
      <c r="E49" s="38"/>
      <c r="F49" s="38"/>
    </row>
    <row r="50" spans="2:6" ht="37.5" customHeight="1" thickBot="1" x14ac:dyDescent="0.3">
      <c r="B50" s="23" t="s">
        <v>0</v>
      </c>
      <c r="C50" s="24" t="s">
        <v>1</v>
      </c>
      <c r="D50" s="24" t="s">
        <v>2</v>
      </c>
      <c r="E50" s="24" t="s">
        <v>3</v>
      </c>
      <c r="F50" s="25" t="s">
        <v>4</v>
      </c>
    </row>
    <row r="51" spans="2:6" ht="37.5" customHeight="1" x14ac:dyDescent="0.25">
      <c r="B51" s="26">
        <v>4</v>
      </c>
      <c r="C51" s="27">
        <v>24</v>
      </c>
      <c r="D51" s="27">
        <v>40</v>
      </c>
      <c r="E51" s="27">
        <v>59</v>
      </c>
      <c r="F51" s="22">
        <v>64</v>
      </c>
    </row>
    <row r="52" spans="2:6" ht="37.5" customHeight="1" thickBot="1" x14ac:dyDescent="0.3">
      <c r="B52" s="28">
        <v>6</v>
      </c>
      <c r="C52" s="29">
        <v>27</v>
      </c>
      <c r="D52" s="30">
        <v>37</v>
      </c>
      <c r="E52" s="29">
        <v>55</v>
      </c>
      <c r="F52" s="31">
        <v>75</v>
      </c>
    </row>
    <row r="53" spans="2:6" ht="37.5" customHeight="1" thickBot="1" x14ac:dyDescent="0.3">
      <c r="B53" s="28">
        <v>1</v>
      </c>
      <c r="C53" s="32">
        <v>29</v>
      </c>
      <c r="D53" s="18" t="s">
        <v>48</v>
      </c>
      <c r="E53" s="33">
        <v>51</v>
      </c>
      <c r="F53" s="31">
        <v>62</v>
      </c>
    </row>
    <row r="54" spans="2:6" ht="37.5" customHeight="1" x14ac:dyDescent="0.25">
      <c r="B54" s="28">
        <v>8</v>
      </c>
      <c r="C54" s="29">
        <v>20</v>
      </c>
      <c r="D54" s="27">
        <v>45</v>
      </c>
      <c r="E54" s="29">
        <v>48</v>
      </c>
      <c r="F54" s="31">
        <v>61</v>
      </c>
    </row>
    <row r="55" spans="2:6" ht="37.5" customHeight="1" thickBot="1" x14ac:dyDescent="0.3">
      <c r="B55" s="34">
        <v>13</v>
      </c>
      <c r="C55" s="30">
        <v>17</v>
      </c>
      <c r="D55" s="30">
        <v>32</v>
      </c>
      <c r="E55" s="30">
        <v>53</v>
      </c>
      <c r="F55" s="35">
        <v>66</v>
      </c>
    </row>
    <row r="56" spans="2:6" ht="37.5" customHeight="1" thickBot="1" x14ac:dyDescent="0.3">
      <c r="B56" s="36" t="s">
        <v>10</v>
      </c>
      <c r="C56" s="37">
        <v>7</v>
      </c>
      <c r="D56" s="37"/>
      <c r="E56" s="142" t="s">
        <v>144</v>
      </c>
      <c r="F56" s="143"/>
    </row>
    <row r="57" spans="2:6" ht="15.75" thickBot="1" x14ac:dyDescent="0.3">
      <c r="B57" s="38"/>
      <c r="C57" s="38"/>
      <c r="D57" s="38"/>
      <c r="E57" s="38"/>
      <c r="F57" s="38"/>
    </row>
    <row r="58" spans="2:6" ht="37.5" customHeight="1" thickBot="1" x14ac:dyDescent="0.3">
      <c r="B58" s="23" t="s">
        <v>0</v>
      </c>
      <c r="C58" s="24" t="s">
        <v>1</v>
      </c>
      <c r="D58" s="24" t="s">
        <v>2</v>
      </c>
      <c r="E58" s="24" t="s">
        <v>3</v>
      </c>
      <c r="F58" s="25" t="s">
        <v>4</v>
      </c>
    </row>
    <row r="59" spans="2:6" ht="37.5" customHeight="1" x14ac:dyDescent="0.25">
      <c r="B59" s="26">
        <v>9</v>
      </c>
      <c r="C59" s="27">
        <v>26</v>
      </c>
      <c r="D59" s="27">
        <v>41</v>
      </c>
      <c r="E59" s="27">
        <v>58</v>
      </c>
      <c r="F59" s="22">
        <v>70</v>
      </c>
    </row>
    <row r="60" spans="2:6" ht="37.5" customHeight="1" thickBot="1" x14ac:dyDescent="0.3">
      <c r="B60" s="28">
        <v>14</v>
      </c>
      <c r="C60" s="29">
        <v>30</v>
      </c>
      <c r="D60" s="30">
        <v>33</v>
      </c>
      <c r="E60" s="29">
        <v>54</v>
      </c>
      <c r="F60" s="31">
        <v>68</v>
      </c>
    </row>
    <row r="61" spans="2:6" ht="37.5" customHeight="1" thickBot="1" x14ac:dyDescent="0.3">
      <c r="B61" s="28">
        <v>7</v>
      </c>
      <c r="C61" s="32">
        <v>21</v>
      </c>
      <c r="D61" s="18" t="s">
        <v>48</v>
      </c>
      <c r="E61" s="33">
        <v>52</v>
      </c>
      <c r="F61" s="31">
        <v>71</v>
      </c>
    </row>
    <row r="62" spans="2:6" ht="37.5" customHeight="1" x14ac:dyDescent="0.25">
      <c r="B62" s="28">
        <v>13</v>
      </c>
      <c r="C62" s="29">
        <v>23</v>
      </c>
      <c r="D62" s="27">
        <v>37</v>
      </c>
      <c r="E62" s="29">
        <v>53</v>
      </c>
      <c r="F62" s="31">
        <v>74</v>
      </c>
    </row>
    <row r="63" spans="2:6" ht="37.5" customHeight="1" thickBot="1" x14ac:dyDescent="0.3">
      <c r="B63" s="34">
        <v>11</v>
      </c>
      <c r="C63" s="30">
        <v>22</v>
      </c>
      <c r="D63" s="30">
        <v>39</v>
      </c>
      <c r="E63" s="30">
        <v>49</v>
      </c>
      <c r="F63" s="35">
        <v>66</v>
      </c>
    </row>
    <row r="64" spans="2:6" ht="37.5" customHeight="1" thickBot="1" x14ac:dyDescent="0.3">
      <c r="B64" s="36" t="s">
        <v>10</v>
      </c>
      <c r="C64" s="37">
        <v>8</v>
      </c>
      <c r="D64" s="37"/>
      <c r="E64" s="142" t="s">
        <v>144</v>
      </c>
      <c r="F64" s="143"/>
    </row>
    <row r="65" spans="2:6" ht="15.75" thickBot="1" x14ac:dyDescent="0.3">
      <c r="B65" s="38"/>
      <c r="C65" s="38"/>
      <c r="D65" s="38"/>
      <c r="E65" s="38"/>
      <c r="F65" s="38"/>
    </row>
    <row r="66" spans="2:6" ht="37.5" customHeight="1" thickBot="1" x14ac:dyDescent="0.3">
      <c r="B66" s="23" t="s">
        <v>0</v>
      </c>
      <c r="C66" s="24" t="s">
        <v>1</v>
      </c>
      <c r="D66" s="24" t="s">
        <v>2</v>
      </c>
      <c r="E66" s="24" t="s">
        <v>3</v>
      </c>
      <c r="F66" s="25" t="s">
        <v>4</v>
      </c>
    </row>
    <row r="67" spans="2:6" ht="37.5" customHeight="1" x14ac:dyDescent="0.25">
      <c r="B67" s="26">
        <v>5</v>
      </c>
      <c r="C67" s="27">
        <v>21</v>
      </c>
      <c r="D67" s="27">
        <v>42</v>
      </c>
      <c r="E67" s="27">
        <v>49</v>
      </c>
      <c r="F67" s="22">
        <v>67</v>
      </c>
    </row>
    <row r="68" spans="2:6" ht="37.5" customHeight="1" thickBot="1" x14ac:dyDescent="0.3">
      <c r="B68" s="28">
        <v>3</v>
      </c>
      <c r="C68" s="29">
        <v>29</v>
      </c>
      <c r="D68" s="30">
        <v>40</v>
      </c>
      <c r="E68" s="29">
        <v>60</v>
      </c>
      <c r="F68" s="31">
        <v>62</v>
      </c>
    </row>
    <row r="69" spans="2:6" ht="37.5" customHeight="1" thickBot="1" x14ac:dyDescent="0.3">
      <c r="B69" s="28">
        <v>8</v>
      </c>
      <c r="C69" s="32">
        <v>23</v>
      </c>
      <c r="D69" s="18" t="s">
        <v>48</v>
      </c>
      <c r="E69" s="33">
        <v>46</v>
      </c>
      <c r="F69" s="31">
        <v>63</v>
      </c>
    </row>
    <row r="70" spans="2:6" ht="37.5" customHeight="1" x14ac:dyDescent="0.25">
      <c r="B70" s="28">
        <v>4</v>
      </c>
      <c r="C70" s="29">
        <v>18</v>
      </c>
      <c r="D70" s="27">
        <v>33</v>
      </c>
      <c r="E70" s="29">
        <v>57</v>
      </c>
      <c r="F70" s="31">
        <v>61</v>
      </c>
    </row>
    <row r="71" spans="2:6" ht="37.5" customHeight="1" thickBot="1" x14ac:dyDescent="0.3">
      <c r="B71" s="34">
        <v>9</v>
      </c>
      <c r="C71" s="30">
        <v>26</v>
      </c>
      <c r="D71" s="30">
        <v>43</v>
      </c>
      <c r="E71" s="30">
        <v>51</v>
      </c>
      <c r="F71" s="35">
        <v>71</v>
      </c>
    </row>
    <row r="72" spans="2:6" ht="37.5" customHeight="1" thickBot="1" x14ac:dyDescent="0.3">
      <c r="B72" s="36" t="s">
        <v>10</v>
      </c>
      <c r="C72" s="37">
        <v>9</v>
      </c>
      <c r="D72" s="37"/>
      <c r="E72" s="142" t="s">
        <v>144</v>
      </c>
      <c r="F72" s="143"/>
    </row>
    <row r="73" spans="2:6" ht="15.75" thickBot="1" x14ac:dyDescent="0.3">
      <c r="B73" s="38"/>
      <c r="C73" s="38"/>
      <c r="D73" s="38"/>
      <c r="E73" s="38"/>
      <c r="F73" s="38"/>
    </row>
    <row r="74" spans="2:6" ht="37.5" customHeight="1" thickBot="1" x14ac:dyDescent="0.3">
      <c r="B74" s="23" t="s">
        <v>0</v>
      </c>
      <c r="C74" s="24" t="s">
        <v>1</v>
      </c>
      <c r="D74" s="24" t="s">
        <v>2</v>
      </c>
      <c r="E74" s="24" t="s">
        <v>3</v>
      </c>
      <c r="F74" s="25" t="s">
        <v>4</v>
      </c>
    </row>
    <row r="75" spans="2:6" ht="37.5" customHeight="1" x14ac:dyDescent="0.25">
      <c r="B75" s="26">
        <v>8</v>
      </c>
      <c r="C75" s="27">
        <v>29</v>
      </c>
      <c r="D75" s="27">
        <v>31</v>
      </c>
      <c r="E75" s="27">
        <v>58</v>
      </c>
      <c r="F75" s="22">
        <v>66</v>
      </c>
    </row>
    <row r="76" spans="2:6" ht="37.5" customHeight="1" thickBot="1" x14ac:dyDescent="0.3">
      <c r="B76" s="28">
        <v>9</v>
      </c>
      <c r="C76" s="29">
        <v>27</v>
      </c>
      <c r="D76" s="30">
        <v>37</v>
      </c>
      <c r="E76" s="29">
        <v>56</v>
      </c>
      <c r="F76" s="31">
        <v>67</v>
      </c>
    </row>
    <row r="77" spans="2:6" ht="37.5" customHeight="1" thickBot="1" x14ac:dyDescent="0.3">
      <c r="B77" s="28">
        <v>4</v>
      </c>
      <c r="C77" s="32">
        <v>17</v>
      </c>
      <c r="D77" s="18" t="s">
        <v>48</v>
      </c>
      <c r="E77" s="33">
        <v>52</v>
      </c>
      <c r="F77" s="31">
        <v>75</v>
      </c>
    </row>
    <row r="78" spans="2:6" ht="37.5" customHeight="1" x14ac:dyDescent="0.25">
      <c r="B78" s="28">
        <v>12</v>
      </c>
      <c r="C78" s="29">
        <v>25</v>
      </c>
      <c r="D78" s="27">
        <v>35</v>
      </c>
      <c r="E78" s="29">
        <v>57</v>
      </c>
      <c r="F78" s="31">
        <v>62</v>
      </c>
    </row>
    <row r="79" spans="2:6" ht="37.5" customHeight="1" thickBot="1" x14ac:dyDescent="0.3">
      <c r="B79" s="34">
        <v>6</v>
      </c>
      <c r="C79" s="30">
        <v>26</v>
      </c>
      <c r="D79" s="30">
        <v>45</v>
      </c>
      <c r="E79" s="30">
        <v>50</v>
      </c>
      <c r="F79" s="35">
        <v>70</v>
      </c>
    </row>
    <row r="80" spans="2:6" ht="37.5" customHeight="1" thickBot="1" x14ac:dyDescent="0.3">
      <c r="B80" s="36" t="s">
        <v>10</v>
      </c>
      <c r="C80" s="37">
        <v>10</v>
      </c>
      <c r="D80" s="37"/>
      <c r="E80" s="142" t="s">
        <v>144</v>
      </c>
      <c r="F80" s="143"/>
    </row>
    <row r="81" spans="2:6" ht="15.75" thickBot="1" x14ac:dyDescent="0.3">
      <c r="B81" s="38"/>
      <c r="C81" s="38"/>
      <c r="D81" s="38"/>
      <c r="E81" s="38"/>
      <c r="F81" s="38"/>
    </row>
    <row r="82" spans="2:6" ht="37.5" customHeight="1" thickBot="1" x14ac:dyDescent="0.3">
      <c r="B82" s="23" t="s">
        <v>0</v>
      </c>
      <c r="C82" s="24" t="s">
        <v>1</v>
      </c>
      <c r="D82" s="24" t="s">
        <v>2</v>
      </c>
      <c r="E82" s="24" t="s">
        <v>3</v>
      </c>
      <c r="F82" s="25" t="s">
        <v>4</v>
      </c>
    </row>
    <row r="83" spans="2:6" ht="37.5" customHeight="1" x14ac:dyDescent="0.25">
      <c r="B83" s="26">
        <v>6</v>
      </c>
      <c r="C83" s="27">
        <v>24</v>
      </c>
      <c r="D83" s="27">
        <v>36</v>
      </c>
      <c r="E83" s="27">
        <v>53</v>
      </c>
      <c r="F83" s="22">
        <v>67</v>
      </c>
    </row>
    <row r="84" spans="2:6" ht="37.5" customHeight="1" thickBot="1" x14ac:dyDescent="0.3">
      <c r="B84" s="28">
        <v>2</v>
      </c>
      <c r="C84" s="29">
        <v>23</v>
      </c>
      <c r="D84" s="30">
        <v>35</v>
      </c>
      <c r="E84" s="29">
        <v>60</v>
      </c>
      <c r="F84" s="31">
        <v>71</v>
      </c>
    </row>
    <row r="85" spans="2:6" ht="37.5" customHeight="1" thickBot="1" x14ac:dyDescent="0.3">
      <c r="B85" s="28">
        <v>3</v>
      </c>
      <c r="C85" s="32">
        <v>30</v>
      </c>
      <c r="D85" s="18" t="s">
        <v>48</v>
      </c>
      <c r="E85" s="33">
        <v>54</v>
      </c>
      <c r="F85" s="31">
        <v>61</v>
      </c>
    </row>
    <row r="86" spans="2:6" ht="37.5" customHeight="1" x14ac:dyDescent="0.25">
      <c r="B86" s="28">
        <v>7</v>
      </c>
      <c r="C86" s="29">
        <v>19</v>
      </c>
      <c r="D86" s="27">
        <v>38</v>
      </c>
      <c r="E86" s="29">
        <v>59</v>
      </c>
      <c r="F86" s="31">
        <v>72</v>
      </c>
    </row>
    <row r="87" spans="2:6" ht="37.5" customHeight="1" thickBot="1" x14ac:dyDescent="0.3">
      <c r="B87" s="34">
        <v>15</v>
      </c>
      <c r="C87" s="30">
        <v>21</v>
      </c>
      <c r="D87" s="30">
        <v>33</v>
      </c>
      <c r="E87" s="30">
        <v>55</v>
      </c>
      <c r="F87" s="35">
        <v>68</v>
      </c>
    </row>
    <row r="88" spans="2:6" ht="37.5" customHeight="1" thickBot="1" x14ac:dyDescent="0.3">
      <c r="B88" s="36" t="s">
        <v>10</v>
      </c>
      <c r="C88" s="37">
        <v>11</v>
      </c>
      <c r="D88" s="37"/>
      <c r="E88" s="142" t="s">
        <v>144</v>
      </c>
      <c r="F88" s="143"/>
    </row>
    <row r="89" spans="2:6" ht="15.75" thickBot="1" x14ac:dyDescent="0.3">
      <c r="B89" s="38"/>
      <c r="C89" s="38"/>
      <c r="D89" s="38"/>
      <c r="E89" s="38"/>
      <c r="F89" s="38"/>
    </row>
    <row r="90" spans="2:6" ht="37.5" customHeight="1" thickBot="1" x14ac:dyDescent="0.3">
      <c r="B90" s="23" t="s">
        <v>0</v>
      </c>
      <c r="C90" s="24" t="s">
        <v>1</v>
      </c>
      <c r="D90" s="24" t="s">
        <v>2</v>
      </c>
      <c r="E90" s="24" t="s">
        <v>3</v>
      </c>
      <c r="F90" s="25" t="s">
        <v>4</v>
      </c>
    </row>
    <row r="91" spans="2:6" ht="37.5" customHeight="1" x14ac:dyDescent="0.25">
      <c r="B91" s="26">
        <v>3</v>
      </c>
      <c r="C91" s="27">
        <v>23</v>
      </c>
      <c r="D91" s="27">
        <v>43</v>
      </c>
      <c r="E91" s="27">
        <v>47</v>
      </c>
      <c r="F91" s="22">
        <v>61</v>
      </c>
    </row>
    <row r="92" spans="2:6" ht="37.5" customHeight="1" thickBot="1" x14ac:dyDescent="0.3">
      <c r="B92" s="28">
        <v>4</v>
      </c>
      <c r="C92" s="29">
        <v>27</v>
      </c>
      <c r="D92" s="30">
        <v>41</v>
      </c>
      <c r="E92" s="29">
        <v>60</v>
      </c>
      <c r="F92" s="31">
        <v>63</v>
      </c>
    </row>
    <row r="93" spans="2:6" ht="37.5" customHeight="1" thickBot="1" x14ac:dyDescent="0.3">
      <c r="B93" s="28">
        <v>5</v>
      </c>
      <c r="C93" s="32">
        <v>28</v>
      </c>
      <c r="D93" s="18" t="s">
        <v>48</v>
      </c>
      <c r="E93" s="33">
        <v>57</v>
      </c>
      <c r="F93" s="31">
        <v>68</v>
      </c>
    </row>
    <row r="94" spans="2:6" ht="37.5" customHeight="1" x14ac:dyDescent="0.25">
      <c r="B94" s="28">
        <v>12</v>
      </c>
      <c r="C94" s="29">
        <v>20</v>
      </c>
      <c r="D94" s="27">
        <v>44</v>
      </c>
      <c r="E94" s="29">
        <v>56</v>
      </c>
      <c r="F94" s="31">
        <v>67</v>
      </c>
    </row>
    <row r="95" spans="2:6" ht="37.5" customHeight="1" thickBot="1" x14ac:dyDescent="0.3">
      <c r="B95" s="34">
        <v>1</v>
      </c>
      <c r="C95" s="30">
        <v>30</v>
      </c>
      <c r="D95" s="30">
        <v>37</v>
      </c>
      <c r="E95" s="30">
        <v>52</v>
      </c>
      <c r="F95" s="35">
        <v>62</v>
      </c>
    </row>
    <row r="96" spans="2:6" ht="37.5" customHeight="1" thickBot="1" x14ac:dyDescent="0.3">
      <c r="B96" s="36" t="s">
        <v>10</v>
      </c>
      <c r="C96" s="37">
        <v>12</v>
      </c>
      <c r="D96" s="37"/>
      <c r="E96" s="142" t="s">
        <v>144</v>
      </c>
      <c r="F96" s="143"/>
    </row>
    <row r="97" spans="2:6" ht="15.75" thickBot="1" x14ac:dyDescent="0.3">
      <c r="B97" s="38"/>
      <c r="C97" s="38"/>
      <c r="D97" s="38"/>
      <c r="E97" s="38"/>
      <c r="F97" s="38"/>
    </row>
    <row r="98" spans="2:6" ht="37.5" customHeight="1" thickBot="1" x14ac:dyDescent="0.3">
      <c r="B98" s="23" t="s">
        <v>0</v>
      </c>
      <c r="C98" s="24" t="s">
        <v>1</v>
      </c>
      <c r="D98" s="24" t="s">
        <v>2</v>
      </c>
      <c r="E98" s="24" t="s">
        <v>3</v>
      </c>
      <c r="F98" s="25" t="s">
        <v>4</v>
      </c>
    </row>
    <row r="99" spans="2:6" ht="37.5" customHeight="1" x14ac:dyDescent="0.25">
      <c r="B99" s="26">
        <v>5</v>
      </c>
      <c r="C99" s="27">
        <v>29</v>
      </c>
      <c r="D99" s="27">
        <v>37</v>
      </c>
      <c r="E99" s="27">
        <v>51</v>
      </c>
      <c r="F99" s="22">
        <v>65</v>
      </c>
    </row>
    <row r="100" spans="2:6" ht="37.5" customHeight="1" thickBot="1" x14ac:dyDescent="0.3">
      <c r="B100" s="28">
        <v>10</v>
      </c>
      <c r="C100" s="29">
        <v>21</v>
      </c>
      <c r="D100" s="30">
        <v>34</v>
      </c>
      <c r="E100" s="29">
        <v>58</v>
      </c>
      <c r="F100" s="31">
        <v>74</v>
      </c>
    </row>
    <row r="101" spans="2:6" ht="37.5" customHeight="1" thickBot="1" x14ac:dyDescent="0.3">
      <c r="B101" s="28">
        <v>13</v>
      </c>
      <c r="C101" s="32">
        <v>20</v>
      </c>
      <c r="D101" s="18" t="s">
        <v>48</v>
      </c>
      <c r="E101" s="33">
        <v>54</v>
      </c>
      <c r="F101" s="31">
        <v>64</v>
      </c>
    </row>
    <row r="102" spans="2:6" ht="37.5" customHeight="1" x14ac:dyDescent="0.25">
      <c r="B102" s="28">
        <v>8</v>
      </c>
      <c r="C102" s="29">
        <v>27</v>
      </c>
      <c r="D102" s="27">
        <v>44</v>
      </c>
      <c r="E102" s="29">
        <v>59</v>
      </c>
      <c r="F102" s="31">
        <v>63</v>
      </c>
    </row>
    <row r="103" spans="2:6" ht="37.5" customHeight="1" thickBot="1" x14ac:dyDescent="0.3">
      <c r="B103" s="34">
        <v>3</v>
      </c>
      <c r="C103" s="30">
        <v>19</v>
      </c>
      <c r="D103" s="30">
        <v>40</v>
      </c>
      <c r="E103" s="30">
        <v>53</v>
      </c>
      <c r="F103" s="35">
        <v>66</v>
      </c>
    </row>
    <row r="104" spans="2:6" ht="37.5" customHeight="1" thickBot="1" x14ac:dyDescent="0.3">
      <c r="B104" s="36" t="s">
        <v>10</v>
      </c>
      <c r="C104" s="37">
        <v>13</v>
      </c>
      <c r="D104" s="37"/>
      <c r="E104" s="142" t="s">
        <v>144</v>
      </c>
      <c r="F104" s="143"/>
    </row>
    <row r="105" spans="2:6" ht="15.75" thickBot="1" x14ac:dyDescent="0.3">
      <c r="B105" s="38"/>
      <c r="C105" s="38"/>
      <c r="D105" s="38"/>
      <c r="E105" s="38"/>
      <c r="F105" s="38"/>
    </row>
    <row r="106" spans="2:6" ht="37.5" customHeight="1" thickBot="1" x14ac:dyDescent="0.3">
      <c r="B106" s="23" t="s">
        <v>0</v>
      </c>
      <c r="C106" s="24" t="s">
        <v>1</v>
      </c>
      <c r="D106" s="24" t="s">
        <v>2</v>
      </c>
      <c r="E106" s="24" t="s">
        <v>3</v>
      </c>
      <c r="F106" s="25" t="s">
        <v>4</v>
      </c>
    </row>
    <row r="107" spans="2:6" ht="37.5" customHeight="1" x14ac:dyDescent="0.25">
      <c r="B107" s="26">
        <v>1</v>
      </c>
      <c r="C107" s="27">
        <v>22</v>
      </c>
      <c r="D107" s="27">
        <v>41</v>
      </c>
      <c r="E107" s="27">
        <v>54</v>
      </c>
      <c r="F107" s="22">
        <v>69</v>
      </c>
    </row>
    <row r="108" spans="2:6" ht="37.5" customHeight="1" thickBot="1" x14ac:dyDescent="0.3">
      <c r="B108" s="28">
        <v>12</v>
      </c>
      <c r="C108" s="29">
        <v>28</v>
      </c>
      <c r="D108" s="30">
        <v>35</v>
      </c>
      <c r="E108" s="29">
        <v>60</v>
      </c>
      <c r="F108" s="31">
        <v>74</v>
      </c>
    </row>
    <row r="109" spans="2:6" ht="37.5" customHeight="1" thickBot="1" x14ac:dyDescent="0.3">
      <c r="B109" s="28">
        <v>13</v>
      </c>
      <c r="C109" s="32">
        <v>27</v>
      </c>
      <c r="D109" s="18" t="s">
        <v>48</v>
      </c>
      <c r="E109" s="33">
        <v>49</v>
      </c>
      <c r="F109" s="31">
        <v>64</v>
      </c>
    </row>
    <row r="110" spans="2:6" ht="37.5" customHeight="1" x14ac:dyDescent="0.25">
      <c r="B110" s="28">
        <v>5</v>
      </c>
      <c r="C110" s="29">
        <v>17</v>
      </c>
      <c r="D110" s="27">
        <v>42</v>
      </c>
      <c r="E110" s="29">
        <v>47</v>
      </c>
      <c r="F110" s="31">
        <v>73</v>
      </c>
    </row>
    <row r="111" spans="2:6" ht="37.5" customHeight="1" thickBot="1" x14ac:dyDescent="0.3">
      <c r="B111" s="34">
        <v>11</v>
      </c>
      <c r="C111" s="30">
        <v>21</v>
      </c>
      <c r="D111" s="30">
        <v>33</v>
      </c>
      <c r="E111" s="30">
        <v>55</v>
      </c>
      <c r="F111" s="35">
        <v>62</v>
      </c>
    </row>
    <row r="112" spans="2:6" ht="37.5" customHeight="1" thickBot="1" x14ac:dyDescent="0.3">
      <c r="B112" s="36" t="s">
        <v>10</v>
      </c>
      <c r="C112" s="37">
        <v>14</v>
      </c>
      <c r="D112" s="37"/>
      <c r="E112" s="142" t="s">
        <v>144</v>
      </c>
      <c r="F112" s="143"/>
    </row>
    <row r="113" spans="2:6" ht="15.75" thickBot="1" x14ac:dyDescent="0.3">
      <c r="B113" s="38"/>
      <c r="C113" s="38"/>
      <c r="D113" s="38"/>
      <c r="E113" s="38"/>
      <c r="F113" s="38"/>
    </row>
    <row r="114" spans="2:6" ht="37.5" customHeight="1" thickBot="1" x14ac:dyDescent="0.3">
      <c r="B114" s="23" t="s">
        <v>0</v>
      </c>
      <c r="C114" s="24" t="s">
        <v>1</v>
      </c>
      <c r="D114" s="24" t="s">
        <v>2</v>
      </c>
      <c r="E114" s="24" t="s">
        <v>3</v>
      </c>
      <c r="F114" s="25" t="s">
        <v>4</v>
      </c>
    </row>
    <row r="115" spans="2:6" ht="37.5" customHeight="1" x14ac:dyDescent="0.25">
      <c r="B115" s="26">
        <v>7</v>
      </c>
      <c r="C115" s="27">
        <v>20</v>
      </c>
      <c r="D115" s="27">
        <v>32</v>
      </c>
      <c r="E115" s="27">
        <v>60</v>
      </c>
      <c r="F115" s="22">
        <v>73</v>
      </c>
    </row>
    <row r="116" spans="2:6" ht="37.5" customHeight="1" thickBot="1" x14ac:dyDescent="0.3">
      <c r="B116" s="28">
        <v>12</v>
      </c>
      <c r="C116" s="29">
        <v>24</v>
      </c>
      <c r="D116" s="30">
        <v>40</v>
      </c>
      <c r="E116" s="29">
        <v>58</v>
      </c>
      <c r="F116" s="31">
        <v>66</v>
      </c>
    </row>
    <row r="117" spans="2:6" ht="37.5" customHeight="1" thickBot="1" x14ac:dyDescent="0.3">
      <c r="B117" s="28">
        <v>4</v>
      </c>
      <c r="C117" s="32">
        <v>19</v>
      </c>
      <c r="D117" s="18" t="s">
        <v>48</v>
      </c>
      <c r="E117" s="33">
        <v>52</v>
      </c>
      <c r="F117" s="31">
        <v>63</v>
      </c>
    </row>
    <row r="118" spans="2:6" ht="37.5" customHeight="1" x14ac:dyDescent="0.25">
      <c r="B118" s="28">
        <v>6</v>
      </c>
      <c r="C118" s="29">
        <v>17</v>
      </c>
      <c r="D118" s="27">
        <v>44</v>
      </c>
      <c r="E118" s="29">
        <v>53</v>
      </c>
      <c r="F118" s="31">
        <v>65</v>
      </c>
    </row>
    <row r="119" spans="2:6" ht="37.5" customHeight="1" thickBot="1" x14ac:dyDescent="0.3">
      <c r="B119" s="34">
        <v>8</v>
      </c>
      <c r="C119" s="30">
        <v>29</v>
      </c>
      <c r="D119" s="30">
        <v>34</v>
      </c>
      <c r="E119" s="30">
        <v>57</v>
      </c>
      <c r="F119" s="35">
        <v>67</v>
      </c>
    </row>
    <row r="120" spans="2:6" ht="37.5" customHeight="1" thickBot="1" x14ac:dyDescent="0.3">
      <c r="B120" s="36" t="s">
        <v>10</v>
      </c>
      <c r="C120" s="37">
        <v>15</v>
      </c>
      <c r="D120" s="37"/>
      <c r="E120" s="142" t="s">
        <v>144</v>
      </c>
      <c r="F120" s="143"/>
    </row>
    <row r="121" spans="2:6" ht="15.75" thickBot="1" x14ac:dyDescent="0.3">
      <c r="B121" s="38"/>
      <c r="C121" s="38"/>
      <c r="D121" s="38"/>
      <c r="E121" s="38"/>
      <c r="F121" s="38"/>
    </row>
    <row r="122" spans="2:6" ht="37.5" customHeight="1" thickBot="1" x14ac:dyDescent="0.3">
      <c r="B122" s="23" t="s">
        <v>0</v>
      </c>
      <c r="C122" s="24" t="s">
        <v>1</v>
      </c>
      <c r="D122" s="24" t="s">
        <v>2</v>
      </c>
      <c r="E122" s="24" t="s">
        <v>3</v>
      </c>
      <c r="F122" s="25" t="s">
        <v>4</v>
      </c>
    </row>
    <row r="123" spans="2:6" ht="37.5" customHeight="1" x14ac:dyDescent="0.25">
      <c r="B123" s="26">
        <v>3</v>
      </c>
      <c r="C123" s="27">
        <v>23</v>
      </c>
      <c r="D123" s="27">
        <v>35</v>
      </c>
      <c r="E123" s="27">
        <v>48</v>
      </c>
      <c r="F123" s="22">
        <v>74</v>
      </c>
    </row>
    <row r="124" spans="2:6" ht="37.5" customHeight="1" thickBot="1" x14ac:dyDescent="0.3">
      <c r="B124" s="28">
        <v>10</v>
      </c>
      <c r="C124" s="29">
        <v>18</v>
      </c>
      <c r="D124" s="30">
        <v>42</v>
      </c>
      <c r="E124" s="29">
        <v>47</v>
      </c>
      <c r="F124" s="31">
        <v>69</v>
      </c>
    </row>
    <row r="125" spans="2:6" ht="37.5" customHeight="1" thickBot="1" x14ac:dyDescent="0.3">
      <c r="B125" s="28">
        <v>2</v>
      </c>
      <c r="C125" s="32">
        <v>30</v>
      </c>
      <c r="D125" s="18" t="s">
        <v>48</v>
      </c>
      <c r="E125" s="33">
        <v>46</v>
      </c>
      <c r="F125" s="31">
        <v>71</v>
      </c>
    </row>
    <row r="126" spans="2:6" ht="37.5" customHeight="1" x14ac:dyDescent="0.25">
      <c r="B126" s="28">
        <v>4</v>
      </c>
      <c r="C126" s="29">
        <v>16</v>
      </c>
      <c r="D126" s="27">
        <v>44</v>
      </c>
      <c r="E126" s="29">
        <v>51</v>
      </c>
      <c r="F126" s="31">
        <v>63</v>
      </c>
    </row>
    <row r="127" spans="2:6" ht="37.5" customHeight="1" thickBot="1" x14ac:dyDescent="0.3">
      <c r="B127" s="34">
        <v>11</v>
      </c>
      <c r="C127" s="30">
        <v>22</v>
      </c>
      <c r="D127" s="30">
        <v>43</v>
      </c>
      <c r="E127" s="30">
        <v>60</v>
      </c>
      <c r="F127" s="35">
        <v>64</v>
      </c>
    </row>
    <row r="128" spans="2:6" ht="37.5" customHeight="1" thickBot="1" x14ac:dyDescent="0.3">
      <c r="B128" s="36" t="s">
        <v>10</v>
      </c>
      <c r="C128" s="37">
        <v>16</v>
      </c>
      <c r="D128" s="37"/>
      <c r="E128" s="142" t="s">
        <v>144</v>
      </c>
      <c r="F128" s="143"/>
    </row>
    <row r="129" spans="2:6" ht="15.75" thickBot="1" x14ac:dyDescent="0.3">
      <c r="B129" s="38"/>
      <c r="C129" s="38"/>
      <c r="D129" s="38"/>
      <c r="E129" s="38"/>
      <c r="F129" s="38"/>
    </row>
    <row r="130" spans="2:6" ht="37.5" customHeight="1" thickBot="1" x14ac:dyDescent="0.3">
      <c r="B130" s="23" t="s">
        <v>0</v>
      </c>
      <c r="C130" s="24" t="s">
        <v>1</v>
      </c>
      <c r="D130" s="24" t="s">
        <v>2</v>
      </c>
      <c r="E130" s="24" t="s">
        <v>3</v>
      </c>
      <c r="F130" s="25" t="s">
        <v>4</v>
      </c>
    </row>
    <row r="131" spans="2:6" ht="37.5" customHeight="1" x14ac:dyDescent="0.25">
      <c r="B131" s="26">
        <v>1</v>
      </c>
      <c r="C131" s="27">
        <v>24</v>
      </c>
      <c r="D131" s="27">
        <v>37</v>
      </c>
      <c r="E131" s="27">
        <v>60</v>
      </c>
      <c r="F131" s="22">
        <v>63</v>
      </c>
    </row>
    <row r="132" spans="2:6" ht="37.5" customHeight="1" thickBot="1" x14ac:dyDescent="0.3">
      <c r="B132" s="28">
        <v>13</v>
      </c>
      <c r="C132" s="29">
        <v>28</v>
      </c>
      <c r="D132" s="30">
        <v>39</v>
      </c>
      <c r="E132" s="29">
        <v>59</v>
      </c>
      <c r="F132" s="31">
        <v>71</v>
      </c>
    </row>
    <row r="133" spans="2:6" ht="37.5" customHeight="1" thickBot="1" x14ac:dyDescent="0.3">
      <c r="B133" s="28">
        <v>12</v>
      </c>
      <c r="C133" s="32">
        <v>19</v>
      </c>
      <c r="D133" s="18" t="s">
        <v>48</v>
      </c>
      <c r="E133" s="33">
        <v>58</v>
      </c>
      <c r="F133" s="31">
        <v>61</v>
      </c>
    </row>
    <row r="134" spans="2:6" ht="37.5" customHeight="1" x14ac:dyDescent="0.25">
      <c r="B134" s="28">
        <v>5</v>
      </c>
      <c r="C134" s="29">
        <v>21</v>
      </c>
      <c r="D134" s="27">
        <v>31</v>
      </c>
      <c r="E134" s="29">
        <v>52</v>
      </c>
      <c r="F134" s="31">
        <v>66</v>
      </c>
    </row>
    <row r="135" spans="2:6" ht="37.5" customHeight="1" thickBot="1" x14ac:dyDescent="0.3">
      <c r="B135" s="34">
        <v>7</v>
      </c>
      <c r="C135" s="30">
        <v>23</v>
      </c>
      <c r="D135" s="30">
        <v>34</v>
      </c>
      <c r="E135" s="30">
        <v>49</v>
      </c>
      <c r="F135" s="35">
        <v>62</v>
      </c>
    </row>
    <row r="136" spans="2:6" ht="37.5" customHeight="1" thickBot="1" x14ac:dyDescent="0.3">
      <c r="B136" s="36" t="s">
        <v>10</v>
      </c>
      <c r="C136" s="37">
        <v>17</v>
      </c>
      <c r="D136" s="37"/>
      <c r="E136" s="142" t="s">
        <v>144</v>
      </c>
      <c r="F136" s="143"/>
    </row>
    <row r="137" spans="2:6" ht="15.75" thickBot="1" x14ac:dyDescent="0.3">
      <c r="B137" s="38"/>
      <c r="C137" s="38"/>
      <c r="D137" s="38"/>
      <c r="E137" s="38"/>
      <c r="F137" s="38"/>
    </row>
    <row r="138" spans="2:6" ht="37.5" customHeight="1" thickBot="1" x14ac:dyDescent="0.3">
      <c r="B138" s="23" t="s">
        <v>0</v>
      </c>
      <c r="C138" s="24" t="s">
        <v>1</v>
      </c>
      <c r="D138" s="24" t="s">
        <v>2</v>
      </c>
      <c r="E138" s="24" t="s">
        <v>3</v>
      </c>
      <c r="F138" s="25" t="s">
        <v>4</v>
      </c>
    </row>
    <row r="139" spans="2:6" ht="37.5" customHeight="1" x14ac:dyDescent="0.25">
      <c r="B139" s="26">
        <v>2</v>
      </c>
      <c r="C139" s="27">
        <v>20</v>
      </c>
      <c r="D139" s="27">
        <v>40</v>
      </c>
      <c r="E139" s="27">
        <v>49</v>
      </c>
      <c r="F139" s="22">
        <v>65</v>
      </c>
    </row>
    <row r="140" spans="2:6" ht="37.5" customHeight="1" thickBot="1" x14ac:dyDescent="0.3">
      <c r="B140" s="28">
        <v>5</v>
      </c>
      <c r="C140" s="29">
        <v>21</v>
      </c>
      <c r="D140" s="30">
        <v>37</v>
      </c>
      <c r="E140" s="29">
        <v>54</v>
      </c>
      <c r="F140" s="31">
        <v>71</v>
      </c>
    </row>
    <row r="141" spans="2:6" ht="37.5" customHeight="1" thickBot="1" x14ac:dyDescent="0.3">
      <c r="B141" s="28">
        <v>6</v>
      </c>
      <c r="C141" s="32">
        <v>22</v>
      </c>
      <c r="D141" s="18" t="s">
        <v>48</v>
      </c>
      <c r="E141" s="33">
        <v>57</v>
      </c>
      <c r="F141" s="31">
        <v>74</v>
      </c>
    </row>
    <row r="142" spans="2:6" ht="37.5" customHeight="1" x14ac:dyDescent="0.25">
      <c r="B142" s="28">
        <v>9</v>
      </c>
      <c r="C142" s="29">
        <v>28</v>
      </c>
      <c r="D142" s="27">
        <v>45</v>
      </c>
      <c r="E142" s="29">
        <v>52</v>
      </c>
      <c r="F142" s="31">
        <v>66</v>
      </c>
    </row>
    <row r="143" spans="2:6" ht="37.5" customHeight="1" thickBot="1" x14ac:dyDescent="0.3">
      <c r="B143" s="34">
        <v>13</v>
      </c>
      <c r="C143" s="30">
        <v>26</v>
      </c>
      <c r="D143" s="30">
        <v>38</v>
      </c>
      <c r="E143" s="30">
        <v>59</v>
      </c>
      <c r="F143" s="35">
        <v>61</v>
      </c>
    </row>
    <row r="144" spans="2:6" ht="37.5" customHeight="1" thickBot="1" x14ac:dyDescent="0.3">
      <c r="B144" s="36" t="s">
        <v>10</v>
      </c>
      <c r="C144" s="37">
        <v>18</v>
      </c>
      <c r="D144" s="37"/>
      <c r="E144" s="142" t="s">
        <v>144</v>
      </c>
      <c r="F144" s="143"/>
    </row>
    <row r="145" spans="2:6" ht="15.75" thickBot="1" x14ac:dyDescent="0.3">
      <c r="B145" s="38"/>
      <c r="C145" s="38"/>
      <c r="D145" s="38"/>
      <c r="E145" s="38"/>
      <c r="F145" s="38"/>
    </row>
    <row r="146" spans="2:6" ht="37.5" customHeight="1" thickBot="1" x14ac:dyDescent="0.3">
      <c r="B146" s="23" t="s">
        <v>0</v>
      </c>
      <c r="C146" s="24" t="s">
        <v>1</v>
      </c>
      <c r="D146" s="24" t="s">
        <v>2</v>
      </c>
      <c r="E146" s="24" t="s">
        <v>3</v>
      </c>
      <c r="F146" s="25" t="s">
        <v>4</v>
      </c>
    </row>
    <row r="147" spans="2:6" ht="37.5" customHeight="1" x14ac:dyDescent="0.25">
      <c r="B147" s="26">
        <v>5</v>
      </c>
      <c r="C147" s="27">
        <v>20</v>
      </c>
      <c r="D147" s="27">
        <v>39</v>
      </c>
      <c r="E147" s="27">
        <v>53</v>
      </c>
      <c r="F147" s="22">
        <v>62</v>
      </c>
    </row>
    <row r="148" spans="2:6" ht="37.5" customHeight="1" thickBot="1" x14ac:dyDescent="0.3">
      <c r="B148" s="28">
        <v>15</v>
      </c>
      <c r="C148" s="29">
        <v>23</v>
      </c>
      <c r="D148" s="30">
        <v>37</v>
      </c>
      <c r="E148" s="29">
        <v>52</v>
      </c>
      <c r="F148" s="31">
        <v>63</v>
      </c>
    </row>
    <row r="149" spans="2:6" ht="37.5" customHeight="1" thickBot="1" x14ac:dyDescent="0.3">
      <c r="B149" s="28">
        <v>12</v>
      </c>
      <c r="C149" s="32">
        <v>27</v>
      </c>
      <c r="D149" s="18" t="s">
        <v>48</v>
      </c>
      <c r="E149" s="33">
        <v>60</v>
      </c>
      <c r="F149" s="31">
        <v>65</v>
      </c>
    </row>
    <row r="150" spans="2:6" ht="37.5" customHeight="1" x14ac:dyDescent="0.25">
      <c r="B150" s="28">
        <v>9</v>
      </c>
      <c r="C150" s="29">
        <v>28</v>
      </c>
      <c r="D150" s="27">
        <v>32</v>
      </c>
      <c r="E150" s="29">
        <v>54</v>
      </c>
      <c r="F150" s="31">
        <v>61</v>
      </c>
    </row>
    <row r="151" spans="2:6" ht="37.5" customHeight="1" thickBot="1" x14ac:dyDescent="0.3">
      <c r="B151" s="34">
        <v>10</v>
      </c>
      <c r="C151" s="30">
        <v>17</v>
      </c>
      <c r="D151" s="30">
        <v>41</v>
      </c>
      <c r="E151" s="30">
        <v>55</v>
      </c>
      <c r="F151" s="35">
        <v>67</v>
      </c>
    </row>
    <row r="152" spans="2:6" ht="37.5" customHeight="1" thickBot="1" x14ac:dyDescent="0.3">
      <c r="B152" s="36" t="s">
        <v>10</v>
      </c>
      <c r="C152" s="37">
        <v>19</v>
      </c>
      <c r="D152" s="37"/>
      <c r="E152" s="142" t="s">
        <v>144</v>
      </c>
      <c r="F152" s="143"/>
    </row>
    <row r="153" spans="2:6" ht="15.75" thickBot="1" x14ac:dyDescent="0.3">
      <c r="B153" s="38"/>
      <c r="C153" s="38"/>
      <c r="D153" s="38"/>
      <c r="E153" s="38"/>
      <c r="F153" s="38"/>
    </row>
    <row r="154" spans="2:6" ht="37.5" customHeight="1" thickBot="1" x14ac:dyDescent="0.3">
      <c r="B154" s="23" t="s">
        <v>0</v>
      </c>
      <c r="C154" s="24" t="s">
        <v>1</v>
      </c>
      <c r="D154" s="24" t="s">
        <v>2</v>
      </c>
      <c r="E154" s="24" t="s">
        <v>3</v>
      </c>
      <c r="F154" s="25" t="s">
        <v>4</v>
      </c>
    </row>
    <row r="155" spans="2:6" ht="37.5" customHeight="1" x14ac:dyDescent="0.25">
      <c r="B155" s="26">
        <v>9</v>
      </c>
      <c r="C155" s="27">
        <v>25</v>
      </c>
      <c r="D155" s="27">
        <v>42</v>
      </c>
      <c r="E155" s="27">
        <v>48</v>
      </c>
      <c r="F155" s="22">
        <v>66</v>
      </c>
    </row>
    <row r="156" spans="2:6" ht="37.5" customHeight="1" thickBot="1" x14ac:dyDescent="0.3">
      <c r="B156" s="28">
        <v>12</v>
      </c>
      <c r="C156" s="29">
        <v>23</v>
      </c>
      <c r="D156" s="30">
        <v>39</v>
      </c>
      <c r="E156" s="29">
        <v>46</v>
      </c>
      <c r="F156" s="31">
        <v>71</v>
      </c>
    </row>
    <row r="157" spans="2:6" ht="37.5" customHeight="1" thickBot="1" x14ac:dyDescent="0.3">
      <c r="B157" s="28">
        <v>1</v>
      </c>
      <c r="C157" s="32">
        <v>24</v>
      </c>
      <c r="D157" s="18" t="s">
        <v>48</v>
      </c>
      <c r="E157" s="33">
        <v>49</v>
      </c>
      <c r="F157" s="31">
        <v>72</v>
      </c>
    </row>
    <row r="158" spans="2:6" ht="37.5" customHeight="1" x14ac:dyDescent="0.25">
      <c r="B158" s="28">
        <v>7</v>
      </c>
      <c r="C158" s="29">
        <v>20</v>
      </c>
      <c r="D158" s="27">
        <v>37</v>
      </c>
      <c r="E158" s="29">
        <v>57</v>
      </c>
      <c r="F158" s="31">
        <v>61</v>
      </c>
    </row>
    <row r="159" spans="2:6" ht="37.5" customHeight="1" thickBot="1" x14ac:dyDescent="0.3">
      <c r="B159" s="34">
        <v>5</v>
      </c>
      <c r="C159" s="30">
        <v>29</v>
      </c>
      <c r="D159" s="30">
        <v>41</v>
      </c>
      <c r="E159" s="30">
        <v>60</v>
      </c>
      <c r="F159" s="35">
        <v>68</v>
      </c>
    </row>
    <row r="160" spans="2:6" ht="37.5" customHeight="1" thickBot="1" x14ac:dyDescent="0.3">
      <c r="B160" s="36" t="s">
        <v>10</v>
      </c>
      <c r="C160" s="37">
        <v>20</v>
      </c>
      <c r="D160" s="37"/>
      <c r="E160" s="142" t="s">
        <v>144</v>
      </c>
      <c r="F160" s="143"/>
    </row>
    <row r="161" spans="2:6" ht="15.75" thickBot="1" x14ac:dyDescent="0.3">
      <c r="B161" s="38"/>
      <c r="C161" s="38"/>
      <c r="D161" s="38"/>
      <c r="E161" s="38"/>
      <c r="F161" s="38"/>
    </row>
    <row r="162" spans="2:6" ht="37.5" customHeight="1" thickBot="1" x14ac:dyDescent="0.3">
      <c r="B162" s="23" t="s">
        <v>0</v>
      </c>
      <c r="C162" s="24" t="s">
        <v>1</v>
      </c>
      <c r="D162" s="24" t="s">
        <v>2</v>
      </c>
      <c r="E162" s="24" t="s">
        <v>3</v>
      </c>
      <c r="F162" s="25" t="s">
        <v>4</v>
      </c>
    </row>
    <row r="163" spans="2:6" ht="37.5" customHeight="1" x14ac:dyDescent="0.25">
      <c r="B163" s="26">
        <v>4</v>
      </c>
      <c r="C163" s="27">
        <v>25</v>
      </c>
      <c r="D163" s="27">
        <v>39</v>
      </c>
      <c r="E163" s="27">
        <v>52</v>
      </c>
      <c r="F163" s="22">
        <v>67</v>
      </c>
    </row>
    <row r="164" spans="2:6" ht="37.5" customHeight="1" thickBot="1" x14ac:dyDescent="0.3">
      <c r="B164" s="28">
        <v>10</v>
      </c>
      <c r="C164" s="29">
        <v>30</v>
      </c>
      <c r="D164" s="30">
        <v>43</v>
      </c>
      <c r="E164" s="29">
        <v>53</v>
      </c>
      <c r="F164" s="31">
        <v>69</v>
      </c>
    </row>
    <row r="165" spans="2:6" ht="37.5" customHeight="1" thickBot="1" x14ac:dyDescent="0.3">
      <c r="B165" s="28">
        <v>14</v>
      </c>
      <c r="C165" s="32">
        <v>16</v>
      </c>
      <c r="D165" s="18" t="s">
        <v>48</v>
      </c>
      <c r="E165" s="33">
        <v>57</v>
      </c>
      <c r="F165" s="31">
        <v>72</v>
      </c>
    </row>
    <row r="166" spans="2:6" ht="37.5" customHeight="1" x14ac:dyDescent="0.25">
      <c r="B166" s="28">
        <v>15</v>
      </c>
      <c r="C166" s="29">
        <v>17</v>
      </c>
      <c r="D166" s="27">
        <v>31</v>
      </c>
      <c r="E166" s="29">
        <v>50</v>
      </c>
      <c r="F166" s="31">
        <v>70</v>
      </c>
    </row>
    <row r="167" spans="2:6" ht="37.5" customHeight="1" thickBot="1" x14ac:dyDescent="0.3">
      <c r="B167" s="34">
        <v>1</v>
      </c>
      <c r="C167" s="30">
        <v>20</v>
      </c>
      <c r="D167" s="30">
        <v>35</v>
      </c>
      <c r="E167" s="30">
        <v>47</v>
      </c>
      <c r="F167" s="35">
        <v>73</v>
      </c>
    </row>
    <row r="168" spans="2:6" ht="37.5" customHeight="1" thickBot="1" x14ac:dyDescent="0.3">
      <c r="B168" s="36" t="s">
        <v>10</v>
      </c>
      <c r="C168" s="37">
        <v>21</v>
      </c>
      <c r="D168" s="37"/>
      <c r="E168" s="142" t="s">
        <v>144</v>
      </c>
      <c r="F168" s="143"/>
    </row>
    <row r="169" spans="2:6" ht="15.75" thickBot="1" x14ac:dyDescent="0.3">
      <c r="B169" s="38"/>
      <c r="C169" s="38"/>
      <c r="D169" s="38"/>
      <c r="E169" s="38"/>
      <c r="F169" s="38"/>
    </row>
    <row r="170" spans="2:6" ht="37.5" customHeight="1" thickBot="1" x14ac:dyDescent="0.3">
      <c r="B170" s="23" t="s">
        <v>0</v>
      </c>
      <c r="C170" s="24" t="s">
        <v>1</v>
      </c>
      <c r="D170" s="24" t="s">
        <v>2</v>
      </c>
      <c r="E170" s="24" t="s">
        <v>3</v>
      </c>
      <c r="F170" s="25" t="s">
        <v>4</v>
      </c>
    </row>
    <row r="171" spans="2:6" ht="37.5" customHeight="1" x14ac:dyDescent="0.25">
      <c r="B171" s="26">
        <v>7</v>
      </c>
      <c r="C171" s="27">
        <v>19</v>
      </c>
      <c r="D171" s="27">
        <v>34</v>
      </c>
      <c r="E171" s="27">
        <v>57</v>
      </c>
      <c r="F171" s="22">
        <v>64</v>
      </c>
    </row>
    <row r="172" spans="2:6" ht="37.5" customHeight="1" thickBot="1" x14ac:dyDescent="0.3">
      <c r="B172" s="28">
        <v>12</v>
      </c>
      <c r="C172" s="29">
        <v>30</v>
      </c>
      <c r="D172" s="30">
        <v>41</v>
      </c>
      <c r="E172" s="29">
        <v>50</v>
      </c>
      <c r="F172" s="31">
        <v>66</v>
      </c>
    </row>
    <row r="173" spans="2:6" ht="37.5" customHeight="1" thickBot="1" x14ac:dyDescent="0.3">
      <c r="B173" s="28">
        <v>11</v>
      </c>
      <c r="C173" s="32">
        <v>28</v>
      </c>
      <c r="D173" s="18" t="s">
        <v>48</v>
      </c>
      <c r="E173" s="33">
        <v>58</v>
      </c>
      <c r="F173" s="31">
        <v>69</v>
      </c>
    </row>
    <row r="174" spans="2:6" ht="37.5" customHeight="1" x14ac:dyDescent="0.25">
      <c r="B174" s="28">
        <v>3</v>
      </c>
      <c r="C174" s="29">
        <v>18</v>
      </c>
      <c r="D174" s="27">
        <v>40</v>
      </c>
      <c r="E174" s="29">
        <v>56</v>
      </c>
      <c r="F174" s="31">
        <v>70</v>
      </c>
    </row>
    <row r="175" spans="2:6" ht="37.5" customHeight="1" thickBot="1" x14ac:dyDescent="0.3">
      <c r="B175" s="34">
        <v>2</v>
      </c>
      <c r="C175" s="30">
        <v>29</v>
      </c>
      <c r="D175" s="30">
        <v>42</v>
      </c>
      <c r="E175" s="30">
        <v>59</v>
      </c>
      <c r="F175" s="35">
        <v>63</v>
      </c>
    </row>
    <row r="176" spans="2:6" ht="37.5" customHeight="1" thickBot="1" x14ac:dyDescent="0.3">
      <c r="B176" s="36" t="s">
        <v>10</v>
      </c>
      <c r="C176" s="37">
        <v>22</v>
      </c>
      <c r="D176" s="37"/>
      <c r="E176" s="142" t="s">
        <v>144</v>
      </c>
      <c r="F176" s="143"/>
    </row>
    <row r="177" spans="2:6" ht="15.75" thickBot="1" x14ac:dyDescent="0.3">
      <c r="B177" s="38"/>
      <c r="C177" s="38"/>
      <c r="D177" s="38"/>
      <c r="E177" s="38"/>
      <c r="F177" s="38"/>
    </row>
    <row r="178" spans="2:6" ht="37.5" customHeight="1" thickBot="1" x14ac:dyDescent="0.3">
      <c r="B178" s="23" t="s">
        <v>0</v>
      </c>
      <c r="C178" s="24" t="s">
        <v>1</v>
      </c>
      <c r="D178" s="24" t="s">
        <v>2</v>
      </c>
      <c r="E178" s="24" t="s">
        <v>3</v>
      </c>
      <c r="F178" s="25" t="s">
        <v>4</v>
      </c>
    </row>
    <row r="179" spans="2:6" ht="37.5" customHeight="1" x14ac:dyDescent="0.25">
      <c r="B179" s="26">
        <v>1</v>
      </c>
      <c r="C179" s="27">
        <v>23</v>
      </c>
      <c r="D179" s="27">
        <v>41</v>
      </c>
      <c r="E179" s="27">
        <v>51</v>
      </c>
      <c r="F179" s="22">
        <v>68</v>
      </c>
    </row>
    <row r="180" spans="2:6" ht="37.5" customHeight="1" thickBot="1" x14ac:dyDescent="0.3">
      <c r="B180" s="28">
        <v>10</v>
      </c>
      <c r="C180" s="29">
        <v>30</v>
      </c>
      <c r="D180" s="30">
        <v>31</v>
      </c>
      <c r="E180" s="29">
        <v>47</v>
      </c>
      <c r="F180" s="31">
        <v>63</v>
      </c>
    </row>
    <row r="181" spans="2:6" ht="37.5" customHeight="1" thickBot="1" x14ac:dyDescent="0.3">
      <c r="B181" s="28">
        <v>13</v>
      </c>
      <c r="C181" s="32">
        <v>27</v>
      </c>
      <c r="D181" s="18" t="s">
        <v>48</v>
      </c>
      <c r="E181" s="33">
        <v>52</v>
      </c>
      <c r="F181" s="31">
        <v>65</v>
      </c>
    </row>
    <row r="182" spans="2:6" ht="37.5" customHeight="1" x14ac:dyDescent="0.25">
      <c r="B182" s="28">
        <v>7</v>
      </c>
      <c r="C182" s="29">
        <v>21</v>
      </c>
      <c r="D182" s="27">
        <v>40</v>
      </c>
      <c r="E182" s="29">
        <v>57</v>
      </c>
      <c r="F182" s="31">
        <v>62</v>
      </c>
    </row>
    <row r="183" spans="2:6" ht="37.5" customHeight="1" thickBot="1" x14ac:dyDescent="0.3">
      <c r="B183" s="34">
        <v>3</v>
      </c>
      <c r="C183" s="30">
        <v>24</v>
      </c>
      <c r="D183" s="30">
        <v>44</v>
      </c>
      <c r="E183" s="30">
        <v>56</v>
      </c>
      <c r="F183" s="35">
        <v>75</v>
      </c>
    </row>
    <row r="184" spans="2:6" ht="37.5" customHeight="1" thickBot="1" x14ac:dyDescent="0.3">
      <c r="B184" s="36" t="s">
        <v>10</v>
      </c>
      <c r="C184" s="37">
        <v>23</v>
      </c>
      <c r="D184" s="37"/>
      <c r="E184" s="142" t="s">
        <v>144</v>
      </c>
      <c r="F184" s="143"/>
    </row>
    <row r="185" spans="2:6" ht="15.75" thickBot="1" x14ac:dyDescent="0.3">
      <c r="B185" s="38"/>
      <c r="C185" s="38"/>
      <c r="D185" s="38"/>
      <c r="E185" s="38"/>
      <c r="F185" s="38"/>
    </row>
    <row r="186" spans="2:6" ht="37.5" customHeight="1" thickBot="1" x14ac:dyDescent="0.3">
      <c r="B186" s="23" t="s">
        <v>0</v>
      </c>
      <c r="C186" s="24" t="s">
        <v>1</v>
      </c>
      <c r="D186" s="24" t="s">
        <v>2</v>
      </c>
      <c r="E186" s="24" t="s">
        <v>3</v>
      </c>
      <c r="F186" s="25" t="s">
        <v>4</v>
      </c>
    </row>
    <row r="187" spans="2:6" ht="37.5" customHeight="1" x14ac:dyDescent="0.25">
      <c r="B187" s="26">
        <v>5</v>
      </c>
      <c r="C187" s="27">
        <v>20</v>
      </c>
      <c r="D187" s="27">
        <v>31</v>
      </c>
      <c r="E187" s="27">
        <v>55</v>
      </c>
      <c r="F187" s="22">
        <v>74</v>
      </c>
    </row>
    <row r="188" spans="2:6" ht="37.5" customHeight="1" thickBot="1" x14ac:dyDescent="0.3">
      <c r="B188" s="28">
        <v>10</v>
      </c>
      <c r="C188" s="29">
        <v>17</v>
      </c>
      <c r="D188" s="30">
        <v>35</v>
      </c>
      <c r="E188" s="29">
        <v>60</v>
      </c>
      <c r="F188" s="31">
        <v>65</v>
      </c>
    </row>
    <row r="189" spans="2:6" ht="37.5" customHeight="1" thickBot="1" x14ac:dyDescent="0.3">
      <c r="B189" s="28">
        <v>13</v>
      </c>
      <c r="C189" s="32">
        <v>23</v>
      </c>
      <c r="D189" s="18" t="s">
        <v>48</v>
      </c>
      <c r="E189" s="33">
        <v>58</v>
      </c>
      <c r="F189" s="31">
        <v>70</v>
      </c>
    </row>
    <row r="190" spans="2:6" ht="37.5" customHeight="1" x14ac:dyDescent="0.25">
      <c r="B190" s="28">
        <v>12</v>
      </c>
      <c r="C190" s="29">
        <v>22</v>
      </c>
      <c r="D190" s="27">
        <v>33</v>
      </c>
      <c r="E190" s="29">
        <v>54</v>
      </c>
      <c r="F190" s="31">
        <v>69</v>
      </c>
    </row>
    <row r="191" spans="2:6" ht="37.5" customHeight="1" thickBot="1" x14ac:dyDescent="0.3">
      <c r="B191" s="34">
        <v>3</v>
      </c>
      <c r="C191" s="30">
        <v>24</v>
      </c>
      <c r="D191" s="30">
        <v>42</v>
      </c>
      <c r="E191" s="30">
        <v>48</v>
      </c>
      <c r="F191" s="35">
        <v>72</v>
      </c>
    </row>
    <row r="192" spans="2:6" ht="37.5" customHeight="1" thickBot="1" x14ac:dyDescent="0.3">
      <c r="B192" s="36" t="s">
        <v>10</v>
      </c>
      <c r="C192" s="37">
        <v>24</v>
      </c>
      <c r="D192" s="37"/>
      <c r="E192" s="142" t="s">
        <v>144</v>
      </c>
      <c r="F192" s="143"/>
    </row>
    <row r="193" spans="2:6" ht="15.75" thickBot="1" x14ac:dyDescent="0.3">
      <c r="B193" s="38"/>
      <c r="C193" s="38"/>
      <c r="D193" s="38"/>
      <c r="E193" s="38"/>
      <c r="F193" s="38"/>
    </row>
    <row r="194" spans="2:6" ht="37.5" customHeight="1" thickBot="1" x14ac:dyDescent="0.3">
      <c r="B194" s="23" t="s">
        <v>0</v>
      </c>
      <c r="C194" s="24" t="s">
        <v>1</v>
      </c>
      <c r="D194" s="24" t="s">
        <v>2</v>
      </c>
      <c r="E194" s="24" t="s">
        <v>3</v>
      </c>
      <c r="F194" s="25" t="s">
        <v>4</v>
      </c>
    </row>
    <row r="195" spans="2:6" ht="37.5" customHeight="1" x14ac:dyDescent="0.25">
      <c r="B195" s="26">
        <v>11</v>
      </c>
      <c r="C195" s="27">
        <v>24</v>
      </c>
      <c r="D195" s="27">
        <v>38</v>
      </c>
      <c r="E195" s="27">
        <v>51</v>
      </c>
      <c r="F195" s="22">
        <v>67</v>
      </c>
    </row>
    <row r="196" spans="2:6" ht="37.5" customHeight="1" thickBot="1" x14ac:dyDescent="0.3">
      <c r="B196" s="28">
        <v>12</v>
      </c>
      <c r="C196" s="29">
        <v>20</v>
      </c>
      <c r="D196" s="30">
        <v>39</v>
      </c>
      <c r="E196" s="29">
        <v>48</v>
      </c>
      <c r="F196" s="31">
        <v>66</v>
      </c>
    </row>
    <row r="197" spans="2:6" ht="37.5" customHeight="1" thickBot="1" x14ac:dyDescent="0.3">
      <c r="B197" s="28">
        <v>4</v>
      </c>
      <c r="C197" s="32">
        <v>22</v>
      </c>
      <c r="D197" s="18" t="s">
        <v>48</v>
      </c>
      <c r="E197" s="33">
        <v>55</v>
      </c>
      <c r="F197" s="31">
        <v>71</v>
      </c>
    </row>
    <row r="198" spans="2:6" ht="37.5" customHeight="1" x14ac:dyDescent="0.25">
      <c r="B198" s="28">
        <v>9</v>
      </c>
      <c r="C198" s="29">
        <v>21</v>
      </c>
      <c r="D198" s="27">
        <v>37</v>
      </c>
      <c r="E198" s="29">
        <v>47</v>
      </c>
      <c r="F198" s="31">
        <v>64</v>
      </c>
    </row>
    <row r="199" spans="2:6" ht="37.5" customHeight="1" thickBot="1" x14ac:dyDescent="0.3">
      <c r="B199" s="34">
        <v>8</v>
      </c>
      <c r="C199" s="30">
        <v>30</v>
      </c>
      <c r="D199" s="30">
        <v>31</v>
      </c>
      <c r="E199" s="30">
        <v>56</v>
      </c>
      <c r="F199" s="35">
        <v>61</v>
      </c>
    </row>
    <row r="200" spans="2:6" ht="37.5" customHeight="1" thickBot="1" x14ac:dyDescent="0.3">
      <c r="B200" s="36" t="s">
        <v>10</v>
      </c>
      <c r="C200" s="37">
        <v>25</v>
      </c>
      <c r="D200" s="37"/>
      <c r="E200" s="142" t="s">
        <v>144</v>
      </c>
      <c r="F200" s="143"/>
    </row>
    <row r="201" spans="2:6" ht="15.75" thickBot="1" x14ac:dyDescent="0.3">
      <c r="B201" s="38"/>
      <c r="C201" s="38"/>
      <c r="D201" s="38"/>
      <c r="E201" s="38"/>
      <c r="F201" s="38"/>
    </row>
    <row r="202" spans="2:6" ht="37.5" customHeight="1" thickBot="1" x14ac:dyDescent="0.3">
      <c r="B202" s="23" t="s">
        <v>0</v>
      </c>
      <c r="C202" s="24" t="s">
        <v>1</v>
      </c>
      <c r="D202" s="24" t="s">
        <v>2</v>
      </c>
      <c r="E202" s="24" t="s">
        <v>3</v>
      </c>
      <c r="F202" s="25" t="s">
        <v>4</v>
      </c>
    </row>
    <row r="203" spans="2:6" ht="37.5" customHeight="1" x14ac:dyDescent="0.25">
      <c r="B203" s="26">
        <v>14</v>
      </c>
      <c r="C203" s="27">
        <v>19</v>
      </c>
      <c r="D203" s="27">
        <v>37</v>
      </c>
      <c r="E203" s="27">
        <v>54</v>
      </c>
      <c r="F203" s="22">
        <v>61</v>
      </c>
    </row>
    <row r="204" spans="2:6" ht="37.5" customHeight="1" thickBot="1" x14ac:dyDescent="0.3">
      <c r="B204" s="28">
        <v>1</v>
      </c>
      <c r="C204" s="29">
        <v>23</v>
      </c>
      <c r="D204" s="30">
        <v>36</v>
      </c>
      <c r="E204" s="29">
        <v>55</v>
      </c>
      <c r="F204" s="31">
        <v>65</v>
      </c>
    </row>
    <row r="205" spans="2:6" ht="37.5" customHeight="1" thickBot="1" x14ac:dyDescent="0.3">
      <c r="B205" s="28">
        <v>7</v>
      </c>
      <c r="C205" s="32">
        <v>29</v>
      </c>
      <c r="D205" s="18" t="s">
        <v>48</v>
      </c>
      <c r="E205" s="33">
        <v>47</v>
      </c>
      <c r="F205" s="31">
        <v>75</v>
      </c>
    </row>
    <row r="206" spans="2:6" ht="37.5" customHeight="1" x14ac:dyDescent="0.25">
      <c r="B206" s="28">
        <v>12</v>
      </c>
      <c r="C206" s="29">
        <v>28</v>
      </c>
      <c r="D206" s="27">
        <v>34</v>
      </c>
      <c r="E206" s="29">
        <v>56</v>
      </c>
      <c r="F206" s="31">
        <v>70</v>
      </c>
    </row>
    <row r="207" spans="2:6" ht="37.5" customHeight="1" thickBot="1" x14ac:dyDescent="0.3">
      <c r="B207" s="34">
        <v>13</v>
      </c>
      <c r="C207" s="30">
        <v>22</v>
      </c>
      <c r="D207" s="30">
        <v>43</v>
      </c>
      <c r="E207" s="30">
        <v>49</v>
      </c>
      <c r="F207" s="35">
        <v>66</v>
      </c>
    </row>
    <row r="208" spans="2:6" ht="37.5" customHeight="1" thickBot="1" x14ac:dyDescent="0.3">
      <c r="B208" s="36" t="s">
        <v>10</v>
      </c>
      <c r="C208" s="37">
        <v>26</v>
      </c>
      <c r="D208" s="37"/>
      <c r="E208" s="142" t="s">
        <v>144</v>
      </c>
      <c r="F208" s="143"/>
    </row>
    <row r="209" spans="2:6" ht="15.75" thickBot="1" x14ac:dyDescent="0.3">
      <c r="B209" s="38"/>
      <c r="C209" s="38"/>
      <c r="D209" s="38"/>
      <c r="E209" s="38"/>
      <c r="F209" s="38"/>
    </row>
    <row r="210" spans="2:6" ht="37.5" customHeight="1" thickBot="1" x14ac:dyDescent="0.3">
      <c r="B210" s="23" t="s">
        <v>0</v>
      </c>
      <c r="C210" s="24" t="s">
        <v>1</v>
      </c>
      <c r="D210" s="24" t="s">
        <v>2</v>
      </c>
      <c r="E210" s="24" t="s">
        <v>3</v>
      </c>
      <c r="F210" s="25" t="s">
        <v>4</v>
      </c>
    </row>
    <row r="211" spans="2:6" ht="37.5" customHeight="1" x14ac:dyDescent="0.25">
      <c r="B211" s="26">
        <v>6</v>
      </c>
      <c r="C211" s="27">
        <v>19</v>
      </c>
      <c r="D211" s="27">
        <v>31</v>
      </c>
      <c r="E211" s="27">
        <v>54</v>
      </c>
      <c r="F211" s="22">
        <v>66</v>
      </c>
    </row>
    <row r="212" spans="2:6" ht="37.5" customHeight="1" thickBot="1" x14ac:dyDescent="0.3">
      <c r="B212" s="28">
        <v>5</v>
      </c>
      <c r="C212" s="29">
        <v>26</v>
      </c>
      <c r="D212" s="30">
        <v>33</v>
      </c>
      <c r="E212" s="29">
        <v>50</v>
      </c>
      <c r="F212" s="31">
        <v>61</v>
      </c>
    </row>
    <row r="213" spans="2:6" ht="37.5" customHeight="1" thickBot="1" x14ac:dyDescent="0.3">
      <c r="B213" s="28">
        <v>4</v>
      </c>
      <c r="C213" s="32">
        <v>24</v>
      </c>
      <c r="D213" s="18" t="s">
        <v>48</v>
      </c>
      <c r="E213" s="33">
        <v>58</v>
      </c>
      <c r="F213" s="31">
        <v>64</v>
      </c>
    </row>
    <row r="214" spans="2:6" ht="37.5" customHeight="1" x14ac:dyDescent="0.25">
      <c r="B214" s="28">
        <v>7</v>
      </c>
      <c r="C214" s="29">
        <v>25</v>
      </c>
      <c r="D214" s="27">
        <v>34</v>
      </c>
      <c r="E214" s="29">
        <v>59</v>
      </c>
      <c r="F214" s="31">
        <v>63</v>
      </c>
    </row>
    <row r="215" spans="2:6" ht="37.5" customHeight="1" thickBot="1" x14ac:dyDescent="0.3">
      <c r="B215" s="34">
        <v>10</v>
      </c>
      <c r="C215" s="30">
        <v>17</v>
      </c>
      <c r="D215" s="30">
        <v>36</v>
      </c>
      <c r="E215" s="30">
        <v>53</v>
      </c>
      <c r="F215" s="35">
        <v>70</v>
      </c>
    </row>
    <row r="216" spans="2:6" ht="37.5" customHeight="1" thickBot="1" x14ac:dyDescent="0.3">
      <c r="B216" s="36" t="s">
        <v>10</v>
      </c>
      <c r="C216" s="37">
        <v>27</v>
      </c>
      <c r="D216" s="37"/>
      <c r="E216" s="142" t="s">
        <v>144</v>
      </c>
      <c r="F216" s="143"/>
    </row>
    <row r="217" spans="2:6" ht="15.75" thickBot="1" x14ac:dyDescent="0.3">
      <c r="B217" s="38"/>
      <c r="C217" s="38"/>
      <c r="D217" s="38"/>
      <c r="E217" s="38"/>
      <c r="F217" s="38"/>
    </row>
    <row r="218" spans="2:6" ht="37.5" customHeight="1" thickBot="1" x14ac:dyDescent="0.3">
      <c r="B218" s="23" t="s">
        <v>0</v>
      </c>
      <c r="C218" s="24" t="s">
        <v>1</v>
      </c>
      <c r="D218" s="24" t="s">
        <v>2</v>
      </c>
      <c r="E218" s="24" t="s">
        <v>3</v>
      </c>
      <c r="F218" s="25" t="s">
        <v>4</v>
      </c>
    </row>
    <row r="219" spans="2:6" ht="37.5" customHeight="1" x14ac:dyDescent="0.25">
      <c r="B219" s="26">
        <v>15</v>
      </c>
      <c r="C219" s="27">
        <v>24</v>
      </c>
      <c r="D219" s="27">
        <v>36</v>
      </c>
      <c r="E219" s="27">
        <v>51</v>
      </c>
      <c r="F219" s="22">
        <v>74</v>
      </c>
    </row>
    <row r="220" spans="2:6" ht="37.5" customHeight="1" thickBot="1" x14ac:dyDescent="0.3">
      <c r="B220" s="28">
        <v>5</v>
      </c>
      <c r="C220" s="29">
        <v>25</v>
      </c>
      <c r="D220" s="30">
        <v>43</v>
      </c>
      <c r="E220" s="29">
        <v>58</v>
      </c>
      <c r="F220" s="31">
        <v>64</v>
      </c>
    </row>
    <row r="221" spans="2:6" ht="37.5" customHeight="1" thickBot="1" x14ac:dyDescent="0.3">
      <c r="B221" s="28">
        <v>4</v>
      </c>
      <c r="C221" s="32">
        <v>26</v>
      </c>
      <c r="D221" s="18" t="s">
        <v>48</v>
      </c>
      <c r="E221" s="33">
        <v>52</v>
      </c>
      <c r="F221" s="31">
        <v>75</v>
      </c>
    </row>
    <row r="222" spans="2:6" ht="37.5" customHeight="1" x14ac:dyDescent="0.25">
      <c r="B222" s="28">
        <v>14</v>
      </c>
      <c r="C222" s="29">
        <v>28</v>
      </c>
      <c r="D222" s="27">
        <v>35</v>
      </c>
      <c r="E222" s="29">
        <v>49</v>
      </c>
      <c r="F222" s="31">
        <v>68</v>
      </c>
    </row>
    <row r="223" spans="2:6" ht="37.5" customHeight="1" thickBot="1" x14ac:dyDescent="0.3">
      <c r="B223" s="34">
        <v>2</v>
      </c>
      <c r="C223" s="30">
        <v>17</v>
      </c>
      <c r="D223" s="30">
        <v>41</v>
      </c>
      <c r="E223" s="30">
        <v>56</v>
      </c>
      <c r="F223" s="35">
        <v>70</v>
      </c>
    </row>
    <row r="224" spans="2:6" ht="37.5" customHeight="1" thickBot="1" x14ac:dyDescent="0.3">
      <c r="B224" s="36" t="s">
        <v>10</v>
      </c>
      <c r="C224" s="37">
        <v>28</v>
      </c>
      <c r="D224" s="37"/>
      <c r="E224" s="142" t="s">
        <v>144</v>
      </c>
      <c r="F224" s="143"/>
    </row>
    <row r="225" spans="2:6" ht="15.75" thickBot="1" x14ac:dyDescent="0.3">
      <c r="B225" s="38"/>
      <c r="C225" s="38"/>
      <c r="D225" s="38"/>
      <c r="E225" s="38"/>
      <c r="F225" s="38"/>
    </row>
    <row r="226" spans="2:6" ht="37.5" customHeight="1" thickBot="1" x14ac:dyDescent="0.3">
      <c r="B226" s="23" t="s">
        <v>0</v>
      </c>
      <c r="C226" s="24" t="s">
        <v>1</v>
      </c>
      <c r="D226" s="24" t="s">
        <v>2</v>
      </c>
      <c r="E226" s="24" t="s">
        <v>3</v>
      </c>
      <c r="F226" s="25" t="s">
        <v>4</v>
      </c>
    </row>
    <row r="227" spans="2:6" ht="37.5" customHeight="1" x14ac:dyDescent="0.25">
      <c r="B227" s="26">
        <v>7</v>
      </c>
      <c r="C227" s="27">
        <v>16</v>
      </c>
      <c r="D227" s="27">
        <v>45</v>
      </c>
      <c r="E227" s="27">
        <v>46</v>
      </c>
      <c r="F227" s="22">
        <v>65</v>
      </c>
    </row>
    <row r="228" spans="2:6" ht="37.5" customHeight="1" thickBot="1" x14ac:dyDescent="0.3">
      <c r="B228" s="28">
        <v>3</v>
      </c>
      <c r="C228" s="29">
        <v>23</v>
      </c>
      <c r="D228" s="30">
        <v>31</v>
      </c>
      <c r="E228" s="29">
        <v>56</v>
      </c>
      <c r="F228" s="31">
        <v>66</v>
      </c>
    </row>
    <row r="229" spans="2:6" ht="37.5" customHeight="1" thickBot="1" x14ac:dyDescent="0.3">
      <c r="B229" s="28">
        <v>10</v>
      </c>
      <c r="C229" s="32">
        <v>21</v>
      </c>
      <c r="D229" s="18" t="s">
        <v>48</v>
      </c>
      <c r="E229" s="33">
        <v>50</v>
      </c>
      <c r="F229" s="31">
        <v>64</v>
      </c>
    </row>
    <row r="230" spans="2:6" ht="37.5" customHeight="1" x14ac:dyDescent="0.25">
      <c r="B230" s="28">
        <v>13</v>
      </c>
      <c r="C230" s="29">
        <v>22</v>
      </c>
      <c r="D230" s="27">
        <v>40</v>
      </c>
      <c r="E230" s="29">
        <v>60</v>
      </c>
      <c r="F230" s="31">
        <v>69</v>
      </c>
    </row>
    <row r="231" spans="2:6" ht="37.5" customHeight="1" thickBot="1" x14ac:dyDescent="0.3">
      <c r="B231" s="34">
        <v>6</v>
      </c>
      <c r="C231" s="30">
        <v>20</v>
      </c>
      <c r="D231" s="30">
        <v>38</v>
      </c>
      <c r="E231" s="30">
        <v>51</v>
      </c>
      <c r="F231" s="35">
        <v>71</v>
      </c>
    </row>
    <row r="232" spans="2:6" ht="37.5" customHeight="1" thickBot="1" x14ac:dyDescent="0.3">
      <c r="B232" s="36" t="s">
        <v>10</v>
      </c>
      <c r="C232" s="37">
        <v>29</v>
      </c>
      <c r="D232" s="37"/>
      <c r="E232" s="142" t="s">
        <v>144</v>
      </c>
      <c r="F232" s="143"/>
    </row>
    <row r="233" spans="2:6" ht="15.75" thickBot="1" x14ac:dyDescent="0.3">
      <c r="B233" s="38"/>
      <c r="C233" s="38"/>
      <c r="D233" s="38"/>
      <c r="E233" s="38"/>
      <c r="F233" s="38"/>
    </row>
    <row r="234" spans="2:6" ht="37.5" customHeight="1" thickBot="1" x14ac:dyDescent="0.3">
      <c r="B234" s="23" t="s">
        <v>0</v>
      </c>
      <c r="C234" s="24" t="s">
        <v>1</v>
      </c>
      <c r="D234" s="24" t="s">
        <v>2</v>
      </c>
      <c r="E234" s="24" t="s">
        <v>3</v>
      </c>
      <c r="F234" s="25" t="s">
        <v>4</v>
      </c>
    </row>
    <row r="235" spans="2:6" ht="37.5" customHeight="1" x14ac:dyDescent="0.25">
      <c r="B235" s="26">
        <v>5</v>
      </c>
      <c r="C235" s="27">
        <v>28</v>
      </c>
      <c r="D235" s="27">
        <v>38</v>
      </c>
      <c r="E235" s="27">
        <v>54</v>
      </c>
      <c r="F235" s="22">
        <v>72</v>
      </c>
    </row>
    <row r="236" spans="2:6" ht="37.5" customHeight="1" thickBot="1" x14ac:dyDescent="0.3">
      <c r="B236" s="28">
        <v>9</v>
      </c>
      <c r="C236" s="29">
        <v>27</v>
      </c>
      <c r="D236" s="30">
        <v>32</v>
      </c>
      <c r="E236" s="29">
        <v>56</v>
      </c>
      <c r="F236" s="31">
        <v>67</v>
      </c>
    </row>
    <row r="237" spans="2:6" ht="37.5" customHeight="1" thickBot="1" x14ac:dyDescent="0.3">
      <c r="B237" s="28">
        <v>15</v>
      </c>
      <c r="C237" s="32">
        <v>22</v>
      </c>
      <c r="D237" s="18" t="s">
        <v>48</v>
      </c>
      <c r="E237" s="33">
        <v>47</v>
      </c>
      <c r="F237" s="31">
        <v>62</v>
      </c>
    </row>
    <row r="238" spans="2:6" ht="37.5" customHeight="1" x14ac:dyDescent="0.25">
      <c r="B238" s="28">
        <v>14</v>
      </c>
      <c r="C238" s="29">
        <v>25</v>
      </c>
      <c r="D238" s="27">
        <v>45</v>
      </c>
      <c r="E238" s="29">
        <v>55</v>
      </c>
      <c r="F238" s="31">
        <v>68</v>
      </c>
    </row>
    <row r="239" spans="2:6" ht="37.5" customHeight="1" thickBot="1" x14ac:dyDescent="0.3">
      <c r="B239" s="34">
        <v>4</v>
      </c>
      <c r="C239" s="30">
        <v>23</v>
      </c>
      <c r="D239" s="30">
        <v>33</v>
      </c>
      <c r="E239" s="30">
        <v>57</v>
      </c>
      <c r="F239" s="35">
        <v>69</v>
      </c>
    </row>
    <row r="240" spans="2:6" ht="37.5" customHeight="1" thickBot="1" x14ac:dyDescent="0.3">
      <c r="B240" s="36" t="s">
        <v>10</v>
      </c>
      <c r="C240" s="37">
        <v>30</v>
      </c>
      <c r="D240" s="37"/>
      <c r="E240" s="142" t="s">
        <v>144</v>
      </c>
      <c r="F240" s="143"/>
    </row>
    <row r="241" spans="2:6" ht="15.75" thickBot="1" x14ac:dyDescent="0.3">
      <c r="B241" s="38"/>
      <c r="C241" s="38"/>
      <c r="D241" s="38"/>
      <c r="E241" s="38"/>
      <c r="F241" s="38"/>
    </row>
    <row r="242" spans="2:6" ht="37.5" customHeight="1" thickBot="1" x14ac:dyDescent="0.3">
      <c r="B242" s="23" t="s">
        <v>0</v>
      </c>
      <c r="C242" s="24" t="s">
        <v>1</v>
      </c>
      <c r="D242" s="24" t="s">
        <v>2</v>
      </c>
      <c r="E242" s="24" t="s">
        <v>3</v>
      </c>
      <c r="F242" s="25" t="s">
        <v>4</v>
      </c>
    </row>
    <row r="243" spans="2:6" ht="37.5" customHeight="1" x14ac:dyDescent="0.25">
      <c r="B243" s="26">
        <v>1</v>
      </c>
      <c r="C243" s="27">
        <v>30</v>
      </c>
      <c r="D243" s="27">
        <v>31</v>
      </c>
      <c r="E243" s="27">
        <v>48</v>
      </c>
      <c r="F243" s="22">
        <v>70</v>
      </c>
    </row>
    <row r="244" spans="2:6" ht="37.5" customHeight="1" thickBot="1" x14ac:dyDescent="0.3">
      <c r="B244" s="28">
        <v>7</v>
      </c>
      <c r="C244" s="29">
        <v>25</v>
      </c>
      <c r="D244" s="30">
        <v>37</v>
      </c>
      <c r="E244" s="29">
        <v>53</v>
      </c>
      <c r="F244" s="31">
        <v>66</v>
      </c>
    </row>
    <row r="245" spans="2:6" ht="37.5" customHeight="1" thickBot="1" x14ac:dyDescent="0.3">
      <c r="B245" s="28">
        <v>2</v>
      </c>
      <c r="C245" s="32">
        <v>20</v>
      </c>
      <c r="D245" s="18" t="s">
        <v>48</v>
      </c>
      <c r="E245" s="33">
        <v>51</v>
      </c>
      <c r="F245" s="31">
        <v>69</v>
      </c>
    </row>
    <row r="246" spans="2:6" ht="37.5" customHeight="1" x14ac:dyDescent="0.25">
      <c r="B246" s="28">
        <v>3</v>
      </c>
      <c r="C246" s="29">
        <v>22</v>
      </c>
      <c r="D246" s="27">
        <v>45</v>
      </c>
      <c r="E246" s="29">
        <v>49</v>
      </c>
      <c r="F246" s="31">
        <v>74</v>
      </c>
    </row>
    <row r="247" spans="2:6" ht="37.5" customHeight="1" thickBot="1" x14ac:dyDescent="0.3">
      <c r="B247" s="34">
        <v>5</v>
      </c>
      <c r="C247" s="30">
        <v>23</v>
      </c>
      <c r="D247" s="30">
        <v>35</v>
      </c>
      <c r="E247" s="30">
        <v>47</v>
      </c>
      <c r="F247" s="35">
        <v>67</v>
      </c>
    </row>
    <row r="248" spans="2:6" ht="37.5" customHeight="1" thickBot="1" x14ac:dyDescent="0.3">
      <c r="B248" s="36" t="s">
        <v>10</v>
      </c>
      <c r="C248" s="37">
        <v>31</v>
      </c>
      <c r="D248" s="37"/>
      <c r="E248" s="142" t="s">
        <v>144</v>
      </c>
      <c r="F248" s="143"/>
    </row>
    <row r="249" spans="2:6" ht="15.75" thickBot="1" x14ac:dyDescent="0.3">
      <c r="B249" s="38"/>
      <c r="C249" s="38"/>
      <c r="D249" s="38"/>
      <c r="E249" s="38"/>
      <c r="F249" s="38"/>
    </row>
    <row r="250" spans="2:6" ht="37.5" customHeight="1" thickBot="1" x14ac:dyDescent="0.3">
      <c r="B250" s="23" t="s">
        <v>0</v>
      </c>
      <c r="C250" s="24" t="s">
        <v>1</v>
      </c>
      <c r="D250" s="24" t="s">
        <v>2</v>
      </c>
      <c r="E250" s="24" t="s">
        <v>3</v>
      </c>
      <c r="F250" s="25" t="s">
        <v>4</v>
      </c>
    </row>
    <row r="251" spans="2:6" ht="37.5" customHeight="1" x14ac:dyDescent="0.25">
      <c r="B251" s="26">
        <v>9</v>
      </c>
      <c r="C251" s="27">
        <v>18</v>
      </c>
      <c r="D251" s="27">
        <v>43</v>
      </c>
      <c r="E251" s="27">
        <v>55</v>
      </c>
      <c r="F251" s="22">
        <v>64</v>
      </c>
    </row>
    <row r="252" spans="2:6" ht="37.5" customHeight="1" thickBot="1" x14ac:dyDescent="0.3">
      <c r="B252" s="28">
        <v>6</v>
      </c>
      <c r="C252" s="29">
        <v>27</v>
      </c>
      <c r="D252" s="30">
        <v>38</v>
      </c>
      <c r="E252" s="29">
        <v>50</v>
      </c>
      <c r="F252" s="31">
        <v>74</v>
      </c>
    </row>
    <row r="253" spans="2:6" ht="37.5" customHeight="1" thickBot="1" x14ac:dyDescent="0.3">
      <c r="B253" s="28">
        <v>1</v>
      </c>
      <c r="C253" s="32">
        <v>19</v>
      </c>
      <c r="D253" s="18" t="s">
        <v>48</v>
      </c>
      <c r="E253" s="33">
        <v>56</v>
      </c>
      <c r="F253" s="31">
        <v>63</v>
      </c>
    </row>
    <row r="254" spans="2:6" ht="37.5" customHeight="1" x14ac:dyDescent="0.25">
      <c r="B254" s="28">
        <v>2</v>
      </c>
      <c r="C254" s="29">
        <v>16</v>
      </c>
      <c r="D254" s="27">
        <v>45</v>
      </c>
      <c r="E254" s="29">
        <v>52</v>
      </c>
      <c r="F254" s="31">
        <v>67</v>
      </c>
    </row>
    <row r="255" spans="2:6" ht="37.5" customHeight="1" thickBot="1" x14ac:dyDescent="0.3">
      <c r="B255" s="34">
        <v>3</v>
      </c>
      <c r="C255" s="30">
        <v>26</v>
      </c>
      <c r="D255" s="30">
        <v>32</v>
      </c>
      <c r="E255" s="30">
        <v>51</v>
      </c>
      <c r="F255" s="35">
        <v>70</v>
      </c>
    </row>
    <row r="256" spans="2:6" ht="37.5" customHeight="1" thickBot="1" x14ac:dyDescent="0.3">
      <c r="B256" s="36" t="s">
        <v>10</v>
      </c>
      <c r="C256" s="37">
        <v>32</v>
      </c>
      <c r="D256" s="37"/>
      <c r="E256" s="142" t="s">
        <v>144</v>
      </c>
      <c r="F256" s="143"/>
    </row>
    <row r="257" spans="2:6" ht="15.75" thickBot="1" x14ac:dyDescent="0.3">
      <c r="B257" s="38"/>
      <c r="C257" s="38"/>
      <c r="D257" s="38"/>
      <c r="E257" s="38"/>
      <c r="F257" s="38"/>
    </row>
    <row r="258" spans="2:6" ht="37.5" customHeight="1" thickBot="1" x14ac:dyDescent="0.3">
      <c r="B258" s="23" t="s">
        <v>0</v>
      </c>
      <c r="C258" s="24" t="s">
        <v>1</v>
      </c>
      <c r="D258" s="24" t="s">
        <v>2</v>
      </c>
      <c r="E258" s="24" t="s">
        <v>3</v>
      </c>
      <c r="F258" s="25" t="s">
        <v>4</v>
      </c>
    </row>
    <row r="259" spans="2:6" ht="37.5" customHeight="1" x14ac:dyDescent="0.25">
      <c r="B259" s="26">
        <v>9</v>
      </c>
      <c r="C259" s="27">
        <v>27</v>
      </c>
      <c r="D259" s="27">
        <v>33</v>
      </c>
      <c r="E259" s="27">
        <v>60</v>
      </c>
      <c r="F259" s="22">
        <v>61</v>
      </c>
    </row>
    <row r="260" spans="2:6" ht="37.5" customHeight="1" thickBot="1" x14ac:dyDescent="0.3">
      <c r="B260" s="28">
        <v>11</v>
      </c>
      <c r="C260" s="29">
        <v>29</v>
      </c>
      <c r="D260" s="30">
        <v>37</v>
      </c>
      <c r="E260" s="29">
        <v>54</v>
      </c>
      <c r="F260" s="31">
        <v>72</v>
      </c>
    </row>
    <row r="261" spans="2:6" ht="37.5" customHeight="1" thickBot="1" x14ac:dyDescent="0.3">
      <c r="B261" s="28">
        <v>2</v>
      </c>
      <c r="C261" s="32">
        <v>20</v>
      </c>
      <c r="D261" s="18" t="s">
        <v>48</v>
      </c>
      <c r="E261" s="33">
        <v>53</v>
      </c>
      <c r="F261" s="31">
        <v>71</v>
      </c>
    </row>
    <row r="262" spans="2:6" ht="37.5" customHeight="1" x14ac:dyDescent="0.25">
      <c r="B262" s="28">
        <v>5</v>
      </c>
      <c r="C262" s="29">
        <v>19</v>
      </c>
      <c r="D262" s="27">
        <v>36</v>
      </c>
      <c r="E262" s="29">
        <v>48</v>
      </c>
      <c r="F262" s="31">
        <v>64</v>
      </c>
    </row>
    <row r="263" spans="2:6" ht="37.5" customHeight="1" thickBot="1" x14ac:dyDescent="0.3">
      <c r="B263" s="34">
        <v>1</v>
      </c>
      <c r="C263" s="30">
        <v>30</v>
      </c>
      <c r="D263" s="30">
        <v>35</v>
      </c>
      <c r="E263" s="30">
        <v>59</v>
      </c>
      <c r="F263" s="35">
        <v>75</v>
      </c>
    </row>
    <row r="264" spans="2:6" ht="37.5" customHeight="1" thickBot="1" x14ac:dyDescent="0.3">
      <c r="B264" s="36" t="s">
        <v>10</v>
      </c>
      <c r="C264" s="37">
        <v>33</v>
      </c>
      <c r="D264" s="37"/>
      <c r="E264" s="142" t="s">
        <v>144</v>
      </c>
      <c r="F264" s="143"/>
    </row>
    <row r="265" spans="2:6" ht="15.75" thickBot="1" x14ac:dyDescent="0.3">
      <c r="B265" s="38"/>
      <c r="C265" s="38"/>
      <c r="D265" s="38"/>
      <c r="E265" s="38"/>
      <c r="F265" s="38"/>
    </row>
    <row r="266" spans="2:6" ht="37.5" customHeight="1" thickBot="1" x14ac:dyDescent="0.3">
      <c r="B266" s="23" t="s">
        <v>0</v>
      </c>
      <c r="C266" s="24" t="s">
        <v>1</v>
      </c>
      <c r="D266" s="24" t="s">
        <v>2</v>
      </c>
      <c r="E266" s="24" t="s">
        <v>3</v>
      </c>
      <c r="F266" s="25" t="s">
        <v>4</v>
      </c>
    </row>
    <row r="267" spans="2:6" ht="37.5" customHeight="1" x14ac:dyDescent="0.25">
      <c r="B267" s="26">
        <v>8</v>
      </c>
      <c r="C267" s="27">
        <v>24</v>
      </c>
      <c r="D267" s="27">
        <v>33</v>
      </c>
      <c r="E267" s="27">
        <v>60</v>
      </c>
      <c r="F267" s="22">
        <v>64</v>
      </c>
    </row>
    <row r="268" spans="2:6" ht="37.5" customHeight="1" thickBot="1" x14ac:dyDescent="0.3">
      <c r="B268" s="28">
        <v>11</v>
      </c>
      <c r="C268" s="29">
        <v>22</v>
      </c>
      <c r="D268" s="30">
        <v>32</v>
      </c>
      <c r="E268" s="29">
        <v>49</v>
      </c>
      <c r="F268" s="31">
        <v>73</v>
      </c>
    </row>
    <row r="269" spans="2:6" ht="37.5" customHeight="1" thickBot="1" x14ac:dyDescent="0.3">
      <c r="B269" s="28">
        <v>6</v>
      </c>
      <c r="C269" s="32">
        <v>25</v>
      </c>
      <c r="D269" s="18" t="s">
        <v>48</v>
      </c>
      <c r="E269" s="33">
        <v>51</v>
      </c>
      <c r="F269" s="31">
        <v>62</v>
      </c>
    </row>
    <row r="270" spans="2:6" ht="37.5" customHeight="1" x14ac:dyDescent="0.25">
      <c r="B270" s="28">
        <v>4</v>
      </c>
      <c r="C270" s="29">
        <v>27</v>
      </c>
      <c r="D270" s="27">
        <v>31</v>
      </c>
      <c r="E270" s="29">
        <v>59</v>
      </c>
      <c r="F270" s="31">
        <v>75</v>
      </c>
    </row>
    <row r="271" spans="2:6" ht="37.5" customHeight="1" thickBot="1" x14ac:dyDescent="0.3">
      <c r="B271" s="34">
        <v>10</v>
      </c>
      <c r="C271" s="30">
        <v>16</v>
      </c>
      <c r="D271" s="30">
        <v>39</v>
      </c>
      <c r="E271" s="30">
        <v>53</v>
      </c>
      <c r="F271" s="35">
        <v>70</v>
      </c>
    </row>
    <row r="272" spans="2:6" ht="37.5" customHeight="1" thickBot="1" x14ac:dyDescent="0.3">
      <c r="B272" s="36" t="s">
        <v>10</v>
      </c>
      <c r="C272" s="37">
        <v>34</v>
      </c>
      <c r="D272" s="37"/>
      <c r="E272" s="142" t="s">
        <v>144</v>
      </c>
      <c r="F272" s="143"/>
    </row>
    <row r="273" spans="2:6" ht="15.75" thickBot="1" x14ac:dyDescent="0.3">
      <c r="B273" s="38"/>
      <c r="C273" s="38"/>
      <c r="D273" s="38"/>
      <c r="E273" s="38"/>
      <c r="F273" s="38"/>
    </row>
    <row r="274" spans="2:6" ht="37.5" customHeight="1" thickBot="1" x14ac:dyDescent="0.3">
      <c r="B274" s="23" t="s">
        <v>0</v>
      </c>
      <c r="C274" s="24" t="s">
        <v>1</v>
      </c>
      <c r="D274" s="24" t="s">
        <v>2</v>
      </c>
      <c r="E274" s="24" t="s">
        <v>3</v>
      </c>
      <c r="F274" s="25" t="s">
        <v>4</v>
      </c>
    </row>
    <row r="275" spans="2:6" ht="37.5" customHeight="1" x14ac:dyDescent="0.25">
      <c r="B275" s="26">
        <v>10</v>
      </c>
      <c r="C275" s="27">
        <v>18</v>
      </c>
      <c r="D275" s="27">
        <v>44</v>
      </c>
      <c r="E275" s="27">
        <v>52</v>
      </c>
      <c r="F275" s="22">
        <v>67</v>
      </c>
    </row>
    <row r="276" spans="2:6" ht="37.5" customHeight="1" thickBot="1" x14ac:dyDescent="0.3">
      <c r="B276" s="28">
        <v>15</v>
      </c>
      <c r="C276" s="29">
        <v>19</v>
      </c>
      <c r="D276" s="30">
        <v>39</v>
      </c>
      <c r="E276" s="29">
        <v>57</v>
      </c>
      <c r="F276" s="31">
        <v>66</v>
      </c>
    </row>
    <row r="277" spans="2:6" ht="37.5" customHeight="1" thickBot="1" x14ac:dyDescent="0.3">
      <c r="B277" s="28">
        <v>7</v>
      </c>
      <c r="C277" s="32">
        <v>25</v>
      </c>
      <c r="D277" s="18" t="s">
        <v>48</v>
      </c>
      <c r="E277" s="33">
        <v>54</v>
      </c>
      <c r="F277" s="31">
        <v>70</v>
      </c>
    </row>
    <row r="278" spans="2:6" ht="37.5" customHeight="1" x14ac:dyDescent="0.25">
      <c r="B278" s="28">
        <v>1</v>
      </c>
      <c r="C278" s="29">
        <v>21</v>
      </c>
      <c r="D278" s="27">
        <v>45</v>
      </c>
      <c r="E278" s="29">
        <v>46</v>
      </c>
      <c r="F278" s="31">
        <v>63</v>
      </c>
    </row>
    <row r="279" spans="2:6" ht="37.5" customHeight="1" thickBot="1" x14ac:dyDescent="0.3">
      <c r="B279" s="34">
        <v>14</v>
      </c>
      <c r="C279" s="30">
        <v>23</v>
      </c>
      <c r="D279" s="30">
        <v>42</v>
      </c>
      <c r="E279" s="30">
        <v>51</v>
      </c>
      <c r="F279" s="35">
        <v>75</v>
      </c>
    </row>
    <row r="280" spans="2:6" ht="37.5" customHeight="1" thickBot="1" x14ac:dyDescent="0.3">
      <c r="B280" s="36" t="s">
        <v>10</v>
      </c>
      <c r="C280" s="37">
        <v>35</v>
      </c>
      <c r="D280" s="37"/>
      <c r="E280" s="142" t="s">
        <v>144</v>
      </c>
      <c r="F280" s="143"/>
    </row>
    <row r="281" spans="2:6" ht="15.75" thickBot="1" x14ac:dyDescent="0.3">
      <c r="B281" s="38"/>
      <c r="C281" s="38"/>
      <c r="D281" s="38"/>
      <c r="E281" s="38"/>
      <c r="F281" s="38"/>
    </row>
    <row r="282" spans="2:6" ht="37.5" customHeight="1" thickBot="1" x14ac:dyDescent="0.3">
      <c r="B282" s="23" t="s">
        <v>0</v>
      </c>
      <c r="C282" s="24" t="s">
        <v>1</v>
      </c>
      <c r="D282" s="24" t="s">
        <v>2</v>
      </c>
      <c r="E282" s="24" t="s">
        <v>3</v>
      </c>
      <c r="F282" s="25" t="s">
        <v>4</v>
      </c>
    </row>
    <row r="283" spans="2:6" ht="37.5" customHeight="1" x14ac:dyDescent="0.25">
      <c r="B283" s="26">
        <v>5</v>
      </c>
      <c r="C283" s="27">
        <v>27</v>
      </c>
      <c r="D283" s="27">
        <v>44</v>
      </c>
      <c r="E283" s="27">
        <v>58</v>
      </c>
      <c r="F283" s="22">
        <v>70</v>
      </c>
    </row>
    <row r="284" spans="2:6" ht="37.5" customHeight="1" thickBot="1" x14ac:dyDescent="0.3">
      <c r="B284" s="28">
        <v>1</v>
      </c>
      <c r="C284" s="29">
        <v>29</v>
      </c>
      <c r="D284" s="30">
        <v>38</v>
      </c>
      <c r="E284" s="29">
        <v>56</v>
      </c>
      <c r="F284" s="31">
        <v>74</v>
      </c>
    </row>
    <row r="285" spans="2:6" ht="37.5" customHeight="1" thickBot="1" x14ac:dyDescent="0.3">
      <c r="B285" s="28">
        <v>13</v>
      </c>
      <c r="C285" s="32">
        <v>30</v>
      </c>
      <c r="D285" s="18" t="s">
        <v>48</v>
      </c>
      <c r="E285" s="33">
        <v>59</v>
      </c>
      <c r="F285" s="31">
        <v>73</v>
      </c>
    </row>
    <row r="286" spans="2:6" ht="37.5" customHeight="1" x14ac:dyDescent="0.25">
      <c r="B286" s="28">
        <v>11</v>
      </c>
      <c r="C286" s="29">
        <v>20</v>
      </c>
      <c r="D286" s="27">
        <v>39</v>
      </c>
      <c r="E286" s="29">
        <v>48</v>
      </c>
      <c r="F286" s="31">
        <v>72</v>
      </c>
    </row>
    <row r="287" spans="2:6" ht="37.5" customHeight="1" thickBot="1" x14ac:dyDescent="0.3">
      <c r="B287" s="34">
        <v>4</v>
      </c>
      <c r="C287" s="30">
        <v>22</v>
      </c>
      <c r="D287" s="30">
        <v>37</v>
      </c>
      <c r="E287" s="30">
        <v>57</v>
      </c>
      <c r="F287" s="35">
        <v>68</v>
      </c>
    </row>
    <row r="288" spans="2:6" ht="37.5" customHeight="1" thickBot="1" x14ac:dyDescent="0.3">
      <c r="B288" s="36" t="s">
        <v>10</v>
      </c>
      <c r="C288" s="37">
        <v>36</v>
      </c>
      <c r="D288" s="37"/>
      <c r="E288" s="142" t="s">
        <v>144</v>
      </c>
      <c r="F288" s="143"/>
    </row>
    <row r="289" spans="2:6" ht="15.75" thickBot="1" x14ac:dyDescent="0.3">
      <c r="B289" s="38"/>
      <c r="C289" s="38"/>
      <c r="D289" s="38"/>
      <c r="E289" s="38"/>
      <c r="F289" s="38"/>
    </row>
    <row r="290" spans="2:6" ht="37.5" customHeight="1" thickBot="1" x14ac:dyDescent="0.3">
      <c r="B290" s="23" t="s">
        <v>0</v>
      </c>
      <c r="C290" s="24" t="s">
        <v>1</v>
      </c>
      <c r="D290" s="24" t="s">
        <v>2</v>
      </c>
      <c r="E290" s="24" t="s">
        <v>3</v>
      </c>
      <c r="F290" s="25" t="s">
        <v>4</v>
      </c>
    </row>
    <row r="291" spans="2:6" ht="37.5" customHeight="1" x14ac:dyDescent="0.25">
      <c r="B291" s="26">
        <v>12</v>
      </c>
      <c r="C291" s="27">
        <v>29</v>
      </c>
      <c r="D291" s="27">
        <v>45</v>
      </c>
      <c r="E291" s="27">
        <v>47</v>
      </c>
      <c r="F291" s="22">
        <v>74</v>
      </c>
    </row>
    <row r="292" spans="2:6" ht="37.5" customHeight="1" thickBot="1" x14ac:dyDescent="0.3">
      <c r="B292" s="28">
        <v>9</v>
      </c>
      <c r="C292" s="29">
        <v>28</v>
      </c>
      <c r="D292" s="30">
        <v>37</v>
      </c>
      <c r="E292" s="29">
        <v>59</v>
      </c>
      <c r="F292" s="31">
        <v>61</v>
      </c>
    </row>
    <row r="293" spans="2:6" ht="37.5" customHeight="1" thickBot="1" x14ac:dyDescent="0.3">
      <c r="B293" s="28">
        <v>3</v>
      </c>
      <c r="C293" s="32">
        <v>21</v>
      </c>
      <c r="D293" s="18" t="s">
        <v>48</v>
      </c>
      <c r="E293" s="33">
        <v>54</v>
      </c>
      <c r="F293" s="31">
        <v>73</v>
      </c>
    </row>
    <row r="294" spans="2:6" ht="37.5" customHeight="1" x14ac:dyDescent="0.25">
      <c r="B294" s="28">
        <v>5</v>
      </c>
      <c r="C294" s="29">
        <v>30</v>
      </c>
      <c r="D294" s="27">
        <v>42</v>
      </c>
      <c r="E294" s="29">
        <v>58</v>
      </c>
      <c r="F294" s="31">
        <v>64</v>
      </c>
    </row>
    <row r="295" spans="2:6" ht="37.5" customHeight="1" thickBot="1" x14ac:dyDescent="0.3">
      <c r="B295" s="34">
        <v>8</v>
      </c>
      <c r="C295" s="30">
        <v>23</v>
      </c>
      <c r="D295" s="30">
        <v>35</v>
      </c>
      <c r="E295" s="30">
        <v>57</v>
      </c>
      <c r="F295" s="35">
        <v>65</v>
      </c>
    </row>
    <row r="296" spans="2:6" ht="37.5" customHeight="1" thickBot="1" x14ac:dyDescent="0.3">
      <c r="B296" s="36" t="s">
        <v>10</v>
      </c>
      <c r="C296" s="37">
        <v>37</v>
      </c>
      <c r="D296" s="37"/>
      <c r="E296" s="142" t="s">
        <v>144</v>
      </c>
      <c r="F296" s="143"/>
    </row>
    <row r="297" spans="2:6" ht="15.75" thickBot="1" x14ac:dyDescent="0.3">
      <c r="B297" s="38"/>
      <c r="C297" s="38"/>
      <c r="D297" s="38"/>
      <c r="E297" s="38"/>
      <c r="F297" s="38"/>
    </row>
    <row r="298" spans="2:6" ht="37.5" customHeight="1" thickBot="1" x14ac:dyDescent="0.3">
      <c r="B298" s="23" t="s">
        <v>0</v>
      </c>
      <c r="C298" s="24" t="s">
        <v>1</v>
      </c>
      <c r="D298" s="24" t="s">
        <v>2</v>
      </c>
      <c r="E298" s="24" t="s">
        <v>3</v>
      </c>
      <c r="F298" s="25" t="s">
        <v>4</v>
      </c>
    </row>
    <row r="299" spans="2:6" ht="37.5" customHeight="1" x14ac:dyDescent="0.25">
      <c r="B299" s="26">
        <v>1</v>
      </c>
      <c r="C299" s="27">
        <v>21</v>
      </c>
      <c r="D299" s="27">
        <v>43</v>
      </c>
      <c r="E299" s="27">
        <v>52</v>
      </c>
      <c r="F299" s="22">
        <v>72</v>
      </c>
    </row>
    <row r="300" spans="2:6" ht="37.5" customHeight="1" thickBot="1" x14ac:dyDescent="0.3">
      <c r="B300" s="28">
        <v>14</v>
      </c>
      <c r="C300" s="29">
        <v>19</v>
      </c>
      <c r="D300" s="30">
        <v>32</v>
      </c>
      <c r="E300" s="29">
        <v>50</v>
      </c>
      <c r="F300" s="31">
        <v>73</v>
      </c>
    </row>
    <row r="301" spans="2:6" ht="37.5" customHeight="1" thickBot="1" x14ac:dyDescent="0.3">
      <c r="B301" s="28">
        <v>15</v>
      </c>
      <c r="C301" s="32">
        <v>17</v>
      </c>
      <c r="D301" s="18" t="s">
        <v>48</v>
      </c>
      <c r="E301" s="33">
        <v>58</v>
      </c>
      <c r="F301" s="31">
        <v>70</v>
      </c>
    </row>
    <row r="302" spans="2:6" ht="37.5" customHeight="1" x14ac:dyDescent="0.25">
      <c r="B302" s="28">
        <v>4</v>
      </c>
      <c r="C302" s="29">
        <v>25</v>
      </c>
      <c r="D302" s="27">
        <v>34</v>
      </c>
      <c r="E302" s="29">
        <v>60</v>
      </c>
      <c r="F302" s="31">
        <v>66</v>
      </c>
    </row>
    <row r="303" spans="2:6" ht="37.5" customHeight="1" thickBot="1" x14ac:dyDescent="0.3">
      <c r="B303" s="34">
        <v>9</v>
      </c>
      <c r="C303" s="30">
        <v>24</v>
      </c>
      <c r="D303" s="30">
        <v>40</v>
      </c>
      <c r="E303" s="30">
        <v>51</v>
      </c>
      <c r="F303" s="35">
        <v>69</v>
      </c>
    </row>
    <row r="304" spans="2:6" ht="37.5" customHeight="1" thickBot="1" x14ac:dyDescent="0.3">
      <c r="B304" s="36" t="s">
        <v>10</v>
      </c>
      <c r="C304" s="37">
        <v>38</v>
      </c>
      <c r="D304" s="37"/>
      <c r="E304" s="142" t="s">
        <v>144</v>
      </c>
      <c r="F304" s="143"/>
    </row>
    <row r="305" spans="2:6" ht="15.75" thickBot="1" x14ac:dyDescent="0.3">
      <c r="B305" s="38"/>
      <c r="C305" s="38"/>
      <c r="D305" s="38"/>
      <c r="E305" s="38"/>
      <c r="F305" s="38"/>
    </row>
    <row r="306" spans="2:6" ht="37.5" customHeight="1" thickBot="1" x14ac:dyDescent="0.3">
      <c r="B306" s="23" t="s">
        <v>0</v>
      </c>
      <c r="C306" s="24" t="s">
        <v>1</v>
      </c>
      <c r="D306" s="24" t="s">
        <v>2</v>
      </c>
      <c r="E306" s="24" t="s">
        <v>3</v>
      </c>
      <c r="F306" s="25" t="s">
        <v>4</v>
      </c>
    </row>
    <row r="307" spans="2:6" ht="37.5" customHeight="1" x14ac:dyDescent="0.25">
      <c r="B307" s="26">
        <v>10</v>
      </c>
      <c r="C307" s="27">
        <v>20</v>
      </c>
      <c r="D307" s="27">
        <v>34</v>
      </c>
      <c r="E307" s="27">
        <v>56</v>
      </c>
      <c r="F307" s="22">
        <v>70</v>
      </c>
    </row>
    <row r="308" spans="2:6" ht="37.5" customHeight="1" thickBot="1" x14ac:dyDescent="0.3">
      <c r="B308" s="28">
        <v>9</v>
      </c>
      <c r="C308" s="29">
        <v>22</v>
      </c>
      <c r="D308" s="30">
        <v>31</v>
      </c>
      <c r="E308" s="29">
        <v>49</v>
      </c>
      <c r="F308" s="31">
        <v>62</v>
      </c>
    </row>
    <row r="309" spans="2:6" ht="37.5" customHeight="1" thickBot="1" x14ac:dyDescent="0.3">
      <c r="B309" s="28">
        <v>1</v>
      </c>
      <c r="C309" s="32">
        <v>28</v>
      </c>
      <c r="D309" s="18" t="s">
        <v>48</v>
      </c>
      <c r="E309" s="33">
        <v>58</v>
      </c>
      <c r="F309" s="31">
        <v>75</v>
      </c>
    </row>
    <row r="310" spans="2:6" ht="37.5" customHeight="1" x14ac:dyDescent="0.25">
      <c r="B310" s="28">
        <v>13</v>
      </c>
      <c r="C310" s="29">
        <v>16</v>
      </c>
      <c r="D310" s="27">
        <v>42</v>
      </c>
      <c r="E310" s="29">
        <v>53</v>
      </c>
      <c r="F310" s="31">
        <v>66</v>
      </c>
    </row>
    <row r="311" spans="2:6" ht="37.5" customHeight="1" thickBot="1" x14ac:dyDescent="0.3">
      <c r="B311" s="34">
        <v>3</v>
      </c>
      <c r="C311" s="30">
        <v>29</v>
      </c>
      <c r="D311" s="30">
        <v>33</v>
      </c>
      <c r="E311" s="30">
        <v>55</v>
      </c>
      <c r="F311" s="35">
        <v>61</v>
      </c>
    </row>
    <row r="312" spans="2:6" ht="37.5" customHeight="1" thickBot="1" x14ac:dyDescent="0.3">
      <c r="B312" s="36" t="s">
        <v>10</v>
      </c>
      <c r="C312" s="37">
        <v>39</v>
      </c>
      <c r="D312" s="37"/>
      <c r="E312" s="142" t="s">
        <v>144</v>
      </c>
      <c r="F312" s="143"/>
    </row>
    <row r="313" spans="2:6" ht="15.75" thickBot="1" x14ac:dyDescent="0.3">
      <c r="B313" s="38"/>
      <c r="C313" s="38"/>
      <c r="D313" s="38"/>
      <c r="E313" s="38"/>
      <c r="F313" s="38"/>
    </row>
    <row r="314" spans="2:6" ht="37.5" customHeight="1" thickBot="1" x14ac:dyDescent="0.3">
      <c r="B314" s="23" t="s">
        <v>0</v>
      </c>
      <c r="C314" s="24" t="s">
        <v>1</v>
      </c>
      <c r="D314" s="24" t="s">
        <v>2</v>
      </c>
      <c r="E314" s="24" t="s">
        <v>3</v>
      </c>
      <c r="F314" s="25" t="s">
        <v>4</v>
      </c>
    </row>
    <row r="315" spans="2:6" ht="37.5" customHeight="1" x14ac:dyDescent="0.25">
      <c r="B315" s="26">
        <v>14</v>
      </c>
      <c r="C315" s="27">
        <v>16</v>
      </c>
      <c r="D315" s="27">
        <v>33</v>
      </c>
      <c r="E315" s="27">
        <v>52</v>
      </c>
      <c r="F315" s="22">
        <v>72</v>
      </c>
    </row>
    <row r="316" spans="2:6" ht="37.5" customHeight="1" thickBot="1" x14ac:dyDescent="0.3">
      <c r="B316" s="28">
        <v>8</v>
      </c>
      <c r="C316" s="29">
        <v>28</v>
      </c>
      <c r="D316" s="30">
        <v>41</v>
      </c>
      <c r="E316" s="29">
        <v>57</v>
      </c>
      <c r="F316" s="31">
        <v>65</v>
      </c>
    </row>
    <row r="317" spans="2:6" ht="37.5" customHeight="1" thickBot="1" x14ac:dyDescent="0.3">
      <c r="B317" s="28">
        <v>7</v>
      </c>
      <c r="C317" s="32">
        <v>23</v>
      </c>
      <c r="D317" s="18" t="s">
        <v>48</v>
      </c>
      <c r="E317" s="33">
        <v>47</v>
      </c>
      <c r="F317" s="31">
        <v>62</v>
      </c>
    </row>
    <row r="318" spans="2:6" ht="37.5" customHeight="1" x14ac:dyDescent="0.25">
      <c r="B318" s="28">
        <v>4</v>
      </c>
      <c r="C318" s="29">
        <v>24</v>
      </c>
      <c r="D318" s="27">
        <v>34</v>
      </c>
      <c r="E318" s="29">
        <v>58</v>
      </c>
      <c r="F318" s="31">
        <v>70</v>
      </c>
    </row>
    <row r="319" spans="2:6" ht="37.5" customHeight="1" thickBot="1" x14ac:dyDescent="0.3">
      <c r="B319" s="34">
        <v>9</v>
      </c>
      <c r="C319" s="30">
        <v>21</v>
      </c>
      <c r="D319" s="30">
        <v>35</v>
      </c>
      <c r="E319" s="30">
        <v>54</v>
      </c>
      <c r="F319" s="35">
        <v>68</v>
      </c>
    </row>
    <row r="320" spans="2:6" ht="37.5" customHeight="1" thickBot="1" x14ac:dyDescent="0.3">
      <c r="B320" s="36" t="s">
        <v>10</v>
      </c>
      <c r="C320" s="37">
        <v>40</v>
      </c>
      <c r="D320" s="37"/>
      <c r="E320" s="142" t="s">
        <v>144</v>
      </c>
      <c r="F320" s="143"/>
    </row>
    <row r="321" spans="2:6" ht="15.75" thickBot="1" x14ac:dyDescent="0.3">
      <c r="B321" s="38"/>
      <c r="C321" s="38"/>
      <c r="D321" s="38"/>
      <c r="E321" s="38"/>
      <c r="F321" s="38"/>
    </row>
    <row r="322" spans="2:6" ht="37.5" customHeight="1" thickBot="1" x14ac:dyDescent="0.3">
      <c r="B322" s="23" t="s">
        <v>0</v>
      </c>
      <c r="C322" s="24" t="s">
        <v>1</v>
      </c>
      <c r="D322" s="24" t="s">
        <v>2</v>
      </c>
      <c r="E322" s="24" t="s">
        <v>3</v>
      </c>
      <c r="F322" s="25" t="s">
        <v>4</v>
      </c>
    </row>
    <row r="323" spans="2:6" ht="37.5" customHeight="1" x14ac:dyDescent="0.25">
      <c r="B323" s="26">
        <v>11</v>
      </c>
      <c r="C323" s="27">
        <v>21</v>
      </c>
      <c r="D323" s="27">
        <v>42</v>
      </c>
      <c r="E323" s="27">
        <v>53</v>
      </c>
      <c r="F323" s="22">
        <v>72</v>
      </c>
    </row>
    <row r="324" spans="2:6" ht="37.5" customHeight="1" thickBot="1" x14ac:dyDescent="0.3">
      <c r="B324" s="28">
        <v>6</v>
      </c>
      <c r="C324" s="29">
        <v>28</v>
      </c>
      <c r="D324" s="30">
        <v>43</v>
      </c>
      <c r="E324" s="29">
        <v>46</v>
      </c>
      <c r="F324" s="31">
        <v>61</v>
      </c>
    </row>
    <row r="325" spans="2:6" ht="37.5" customHeight="1" thickBot="1" x14ac:dyDescent="0.3">
      <c r="B325" s="28">
        <v>10</v>
      </c>
      <c r="C325" s="32">
        <v>18</v>
      </c>
      <c r="D325" s="18" t="s">
        <v>48</v>
      </c>
      <c r="E325" s="33">
        <v>55</v>
      </c>
      <c r="F325" s="31">
        <v>75</v>
      </c>
    </row>
    <row r="326" spans="2:6" ht="37.5" customHeight="1" x14ac:dyDescent="0.25">
      <c r="B326" s="28">
        <v>3</v>
      </c>
      <c r="C326" s="29">
        <v>23</v>
      </c>
      <c r="D326" s="27">
        <v>35</v>
      </c>
      <c r="E326" s="29">
        <v>60</v>
      </c>
      <c r="F326" s="31">
        <v>71</v>
      </c>
    </row>
    <row r="327" spans="2:6" ht="37.5" customHeight="1" thickBot="1" x14ac:dyDescent="0.3">
      <c r="B327" s="34">
        <v>14</v>
      </c>
      <c r="C327" s="30">
        <v>16</v>
      </c>
      <c r="D327" s="30">
        <v>37</v>
      </c>
      <c r="E327" s="30">
        <v>47</v>
      </c>
      <c r="F327" s="35">
        <v>63</v>
      </c>
    </row>
    <row r="328" spans="2:6" ht="37.5" customHeight="1" thickBot="1" x14ac:dyDescent="0.3">
      <c r="B328" s="36" t="s">
        <v>10</v>
      </c>
      <c r="C328" s="37">
        <v>41</v>
      </c>
      <c r="D328" s="37"/>
      <c r="E328" s="142" t="s">
        <v>144</v>
      </c>
      <c r="F328" s="143"/>
    </row>
    <row r="329" spans="2:6" ht="15.75" thickBot="1" x14ac:dyDescent="0.3">
      <c r="B329" s="38"/>
      <c r="C329" s="38"/>
      <c r="D329" s="38"/>
      <c r="E329" s="38"/>
      <c r="F329" s="38"/>
    </row>
    <row r="330" spans="2:6" ht="37.5" customHeight="1" thickBot="1" x14ac:dyDescent="0.3">
      <c r="B330" s="23" t="s">
        <v>0</v>
      </c>
      <c r="C330" s="24" t="s">
        <v>1</v>
      </c>
      <c r="D330" s="24" t="s">
        <v>2</v>
      </c>
      <c r="E330" s="24" t="s">
        <v>3</v>
      </c>
      <c r="F330" s="25" t="s">
        <v>4</v>
      </c>
    </row>
    <row r="331" spans="2:6" ht="37.5" customHeight="1" x14ac:dyDescent="0.25">
      <c r="B331" s="26">
        <v>3</v>
      </c>
      <c r="C331" s="27">
        <v>18</v>
      </c>
      <c r="D331" s="27">
        <v>41</v>
      </c>
      <c r="E331" s="27">
        <v>47</v>
      </c>
      <c r="F331" s="22">
        <v>65</v>
      </c>
    </row>
    <row r="332" spans="2:6" ht="37.5" customHeight="1" thickBot="1" x14ac:dyDescent="0.3">
      <c r="B332" s="28">
        <v>15</v>
      </c>
      <c r="C332" s="29">
        <v>20</v>
      </c>
      <c r="D332" s="30">
        <v>43</v>
      </c>
      <c r="E332" s="29">
        <v>55</v>
      </c>
      <c r="F332" s="31">
        <v>70</v>
      </c>
    </row>
    <row r="333" spans="2:6" ht="37.5" customHeight="1" thickBot="1" x14ac:dyDescent="0.3">
      <c r="B333" s="28">
        <v>11</v>
      </c>
      <c r="C333" s="32">
        <v>16</v>
      </c>
      <c r="D333" s="18" t="s">
        <v>48</v>
      </c>
      <c r="E333" s="33">
        <v>52</v>
      </c>
      <c r="F333" s="31">
        <v>64</v>
      </c>
    </row>
    <row r="334" spans="2:6" ht="37.5" customHeight="1" x14ac:dyDescent="0.25">
      <c r="B334" s="28">
        <v>14</v>
      </c>
      <c r="C334" s="29">
        <v>29</v>
      </c>
      <c r="D334" s="27">
        <v>32</v>
      </c>
      <c r="E334" s="29">
        <v>60</v>
      </c>
      <c r="F334" s="31">
        <v>62</v>
      </c>
    </row>
    <row r="335" spans="2:6" ht="37.5" customHeight="1" thickBot="1" x14ac:dyDescent="0.3">
      <c r="B335" s="34">
        <v>2</v>
      </c>
      <c r="C335" s="30">
        <v>19</v>
      </c>
      <c r="D335" s="30">
        <v>34</v>
      </c>
      <c r="E335" s="30">
        <v>48</v>
      </c>
      <c r="F335" s="35">
        <v>61</v>
      </c>
    </row>
    <row r="336" spans="2:6" ht="37.5" customHeight="1" thickBot="1" x14ac:dyDescent="0.3">
      <c r="B336" s="36" t="s">
        <v>10</v>
      </c>
      <c r="C336" s="37">
        <v>42</v>
      </c>
      <c r="D336" s="37"/>
      <c r="E336" s="142" t="s">
        <v>144</v>
      </c>
      <c r="F336" s="143"/>
    </row>
    <row r="337" spans="2:6" ht="15.75" thickBot="1" x14ac:dyDescent="0.3">
      <c r="B337" s="38"/>
      <c r="C337" s="38"/>
      <c r="D337" s="38"/>
      <c r="E337" s="38"/>
      <c r="F337" s="38"/>
    </row>
    <row r="338" spans="2:6" ht="37.5" customHeight="1" thickBot="1" x14ac:dyDescent="0.3">
      <c r="B338" s="23" t="s">
        <v>0</v>
      </c>
      <c r="C338" s="24" t="s">
        <v>1</v>
      </c>
      <c r="D338" s="24" t="s">
        <v>2</v>
      </c>
      <c r="E338" s="24" t="s">
        <v>3</v>
      </c>
      <c r="F338" s="25" t="s">
        <v>4</v>
      </c>
    </row>
    <row r="339" spans="2:6" ht="37.5" customHeight="1" x14ac:dyDescent="0.25">
      <c r="B339" s="26">
        <v>15</v>
      </c>
      <c r="C339" s="27">
        <v>21</v>
      </c>
      <c r="D339" s="27">
        <v>35</v>
      </c>
      <c r="E339" s="27">
        <v>53</v>
      </c>
      <c r="F339" s="22">
        <v>68</v>
      </c>
    </row>
    <row r="340" spans="2:6" ht="37.5" customHeight="1" thickBot="1" x14ac:dyDescent="0.3">
      <c r="B340" s="28">
        <v>12</v>
      </c>
      <c r="C340" s="29">
        <v>19</v>
      </c>
      <c r="D340" s="30">
        <v>37</v>
      </c>
      <c r="E340" s="29">
        <v>58</v>
      </c>
      <c r="F340" s="31">
        <v>72</v>
      </c>
    </row>
    <row r="341" spans="2:6" ht="37.5" customHeight="1" thickBot="1" x14ac:dyDescent="0.3">
      <c r="B341" s="28">
        <v>7</v>
      </c>
      <c r="C341" s="32">
        <v>17</v>
      </c>
      <c r="D341" s="18" t="s">
        <v>48</v>
      </c>
      <c r="E341" s="33">
        <v>51</v>
      </c>
      <c r="F341" s="31">
        <v>70</v>
      </c>
    </row>
    <row r="342" spans="2:6" ht="37.5" customHeight="1" x14ac:dyDescent="0.25">
      <c r="B342" s="28">
        <v>13</v>
      </c>
      <c r="C342" s="29">
        <v>27</v>
      </c>
      <c r="D342" s="27">
        <v>45</v>
      </c>
      <c r="E342" s="29">
        <v>48</v>
      </c>
      <c r="F342" s="31">
        <v>66</v>
      </c>
    </row>
    <row r="343" spans="2:6" ht="37.5" customHeight="1" thickBot="1" x14ac:dyDescent="0.3">
      <c r="B343" s="34">
        <v>11</v>
      </c>
      <c r="C343" s="30">
        <v>28</v>
      </c>
      <c r="D343" s="30">
        <v>41</v>
      </c>
      <c r="E343" s="30">
        <v>59</v>
      </c>
      <c r="F343" s="35">
        <v>75</v>
      </c>
    </row>
    <row r="344" spans="2:6" ht="37.5" customHeight="1" thickBot="1" x14ac:dyDescent="0.3">
      <c r="B344" s="36" t="s">
        <v>10</v>
      </c>
      <c r="C344" s="37">
        <v>43</v>
      </c>
      <c r="D344" s="37"/>
      <c r="E344" s="142" t="s">
        <v>144</v>
      </c>
      <c r="F344" s="143"/>
    </row>
    <row r="345" spans="2:6" ht="15.75" thickBot="1" x14ac:dyDescent="0.3">
      <c r="B345" s="38"/>
      <c r="C345" s="38"/>
      <c r="D345" s="38"/>
      <c r="E345" s="38"/>
      <c r="F345" s="38"/>
    </row>
    <row r="346" spans="2:6" ht="37.5" customHeight="1" thickBot="1" x14ac:dyDescent="0.3">
      <c r="B346" s="23" t="s">
        <v>0</v>
      </c>
      <c r="C346" s="24" t="s">
        <v>1</v>
      </c>
      <c r="D346" s="24" t="s">
        <v>2</v>
      </c>
      <c r="E346" s="24" t="s">
        <v>3</v>
      </c>
      <c r="F346" s="25" t="s">
        <v>4</v>
      </c>
    </row>
    <row r="347" spans="2:6" ht="37.5" customHeight="1" x14ac:dyDescent="0.25">
      <c r="B347" s="26">
        <v>6</v>
      </c>
      <c r="C347" s="27">
        <v>17</v>
      </c>
      <c r="D347" s="27">
        <v>39</v>
      </c>
      <c r="E347" s="27">
        <v>52</v>
      </c>
      <c r="F347" s="22">
        <v>75</v>
      </c>
    </row>
    <row r="348" spans="2:6" ht="37.5" customHeight="1" thickBot="1" x14ac:dyDescent="0.3">
      <c r="B348" s="28">
        <v>5</v>
      </c>
      <c r="C348" s="29">
        <v>29</v>
      </c>
      <c r="D348" s="30">
        <v>43</v>
      </c>
      <c r="E348" s="29">
        <v>54</v>
      </c>
      <c r="F348" s="31">
        <v>61</v>
      </c>
    </row>
    <row r="349" spans="2:6" ht="37.5" customHeight="1" thickBot="1" x14ac:dyDescent="0.3">
      <c r="B349" s="28">
        <v>4</v>
      </c>
      <c r="C349" s="32">
        <v>25</v>
      </c>
      <c r="D349" s="18" t="s">
        <v>48</v>
      </c>
      <c r="E349" s="33">
        <v>47</v>
      </c>
      <c r="F349" s="31">
        <v>70</v>
      </c>
    </row>
    <row r="350" spans="2:6" ht="37.5" customHeight="1" x14ac:dyDescent="0.25">
      <c r="B350" s="28">
        <v>12</v>
      </c>
      <c r="C350" s="29">
        <v>27</v>
      </c>
      <c r="D350" s="27">
        <v>33</v>
      </c>
      <c r="E350" s="29">
        <v>46</v>
      </c>
      <c r="F350" s="31">
        <v>62</v>
      </c>
    </row>
    <row r="351" spans="2:6" ht="37.5" customHeight="1" thickBot="1" x14ac:dyDescent="0.3">
      <c r="B351" s="34">
        <v>14</v>
      </c>
      <c r="C351" s="30">
        <v>20</v>
      </c>
      <c r="D351" s="30">
        <v>42</v>
      </c>
      <c r="E351" s="30">
        <v>58</v>
      </c>
      <c r="F351" s="35">
        <v>66</v>
      </c>
    </row>
    <row r="352" spans="2:6" ht="37.5" customHeight="1" thickBot="1" x14ac:dyDescent="0.3">
      <c r="B352" s="36" t="s">
        <v>10</v>
      </c>
      <c r="C352" s="37">
        <v>44</v>
      </c>
      <c r="D352" s="37"/>
      <c r="E352" s="142" t="s">
        <v>144</v>
      </c>
      <c r="F352" s="143"/>
    </row>
    <row r="353" spans="2:6" ht="15.75" thickBot="1" x14ac:dyDescent="0.3">
      <c r="B353" s="38"/>
      <c r="C353" s="38"/>
      <c r="D353" s="38"/>
      <c r="E353" s="38"/>
      <c r="F353" s="38"/>
    </row>
    <row r="354" spans="2:6" ht="37.5" customHeight="1" thickBot="1" x14ac:dyDescent="0.3">
      <c r="B354" s="23" t="s">
        <v>0</v>
      </c>
      <c r="C354" s="24" t="s">
        <v>1</v>
      </c>
      <c r="D354" s="24" t="s">
        <v>2</v>
      </c>
      <c r="E354" s="24" t="s">
        <v>3</v>
      </c>
      <c r="F354" s="25" t="s">
        <v>4</v>
      </c>
    </row>
    <row r="355" spans="2:6" ht="37.5" customHeight="1" x14ac:dyDescent="0.25">
      <c r="B355" s="26">
        <v>8</v>
      </c>
      <c r="C355" s="27">
        <v>19</v>
      </c>
      <c r="D355" s="27">
        <v>31</v>
      </c>
      <c r="E355" s="27">
        <v>52</v>
      </c>
      <c r="F355" s="22">
        <v>64</v>
      </c>
    </row>
    <row r="356" spans="2:6" ht="37.5" customHeight="1" thickBot="1" x14ac:dyDescent="0.3">
      <c r="B356" s="28">
        <v>14</v>
      </c>
      <c r="C356" s="29">
        <v>16</v>
      </c>
      <c r="D356" s="30">
        <v>45</v>
      </c>
      <c r="E356" s="29">
        <v>48</v>
      </c>
      <c r="F356" s="31">
        <v>66</v>
      </c>
    </row>
    <row r="357" spans="2:6" ht="37.5" customHeight="1" thickBot="1" x14ac:dyDescent="0.3">
      <c r="B357" s="28">
        <v>3</v>
      </c>
      <c r="C357" s="32">
        <v>29</v>
      </c>
      <c r="D357" s="18" t="s">
        <v>48</v>
      </c>
      <c r="E357" s="33">
        <v>50</v>
      </c>
      <c r="F357" s="31">
        <v>74</v>
      </c>
    </row>
    <row r="358" spans="2:6" ht="37.5" customHeight="1" x14ac:dyDescent="0.25">
      <c r="B358" s="28">
        <v>13</v>
      </c>
      <c r="C358" s="29">
        <v>23</v>
      </c>
      <c r="D358" s="27">
        <v>34</v>
      </c>
      <c r="E358" s="29">
        <v>57</v>
      </c>
      <c r="F358" s="31">
        <v>73</v>
      </c>
    </row>
    <row r="359" spans="2:6" ht="37.5" customHeight="1" thickBot="1" x14ac:dyDescent="0.3">
      <c r="B359" s="34">
        <v>10</v>
      </c>
      <c r="C359" s="30">
        <v>26</v>
      </c>
      <c r="D359" s="30">
        <v>44</v>
      </c>
      <c r="E359" s="30">
        <v>58</v>
      </c>
      <c r="F359" s="35">
        <v>67</v>
      </c>
    </row>
    <row r="360" spans="2:6" ht="37.5" customHeight="1" thickBot="1" x14ac:dyDescent="0.3">
      <c r="B360" s="36" t="s">
        <v>10</v>
      </c>
      <c r="C360" s="37">
        <v>45</v>
      </c>
      <c r="D360" s="37"/>
      <c r="E360" s="142" t="s">
        <v>144</v>
      </c>
      <c r="F360" s="143"/>
    </row>
    <row r="361" spans="2:6" ht="15.75" thickBot="1" x14ac:dyDescent="0.3">
      <c r="B361" s="38"/>
      <c r="C361" s="38"/>
      <c r="D361" s="38"/>
      <c r="E361" s="38"/>
      <c r="F361" s="38"/>
    </row>
    <row r="362" spans="2:6" ht="37.5" customHeight="1" thickBot="1" x14ac:dyDescent="0.3">
      <c r="B362" s="23" t="s">
        <v>0</v>
      </c>
      <c r="C362" s="24" t="s">
        <v>1</v>
      </c>
      <c r="D362" s="24" t="s">
        <v>2</v>
      </c>
      <c r="E362" s="24" t="s">
        <v>3</v>
      </c>
      <c r="F362" s="25" t="s">
        <v>4</v>
      </c>
    </row>
    <row r="363" spans="2:6" ht="37.5" customHeight="1" x14ac:dyDescent="0.25">
      <c r="B363" s="26">
        <v>9</v>
      </c>
      <c r="C363" s="27">
        <v>20</v>
      </c>
      <c r="D363" s="27">
        <v>33</v>
      </c>
      <c r="E363" s="27">
        <v>48</v>
      </c>
      <c r="F363" s="22">
        <v>72</v>
      </c>
    </row>
    <row r="364" spans="2:6" ht="37.5" customHeight="1" thickBot="1" x14ac:dyDescent="0.3">
      <c r="B364" s="28">
        <v>3</v>
      </c>
      <c r="C364" s="29">
        <v>25</v>
      </c>
      <c r="D364" s="30">
        <v>31</v>
      </c>
      <c r="E364" s="29">
        <v>55</v>
      </c>
      <c r="F364" s="31">
        <v>66</v>
      </c>
    </row>
    <row r="365" spans="2:6" ht="37.5" customHeight="1" thickBot="1" x14ac:dyDescent="0.3">
      <c r="B365" s="28">
        <v>15</v>
      </c>
      <c r="C365" s="32">
        <v>21</v>
      </c>
      <c r="D365" s="18" t="s">
        <v>48</v>
      </c>
      <c r="E365" s="33">
        <v>59</v>
      </c>
      <c r="F365" s="31">
        <v>63</v>
      </c>
    </row>
    <row r="366" spans="2:6" ht="37.5" customHeight="1" x14ac:dyDescent="0.25">
      <c r="B366" s="28">
        <v>4</v>
      </c>
      <c r="C366" s="29">
        <v>27</v>
      </c>
      <c r="D366" s="27">
        <v>34</v>
      </c>
      <c r="E366" s="29">
        <v>50</v>
      </c>
      <c r="F366" s="31">
        <v>69</v>
      </c>
    </row>
    <row r="367" spans="2:6" ht="37.5" customHeight="1" thickBot="1" x14ac:dyDescent="0.3">
      <c r="B367" s="34">
        <v>1</v>
      </c>
      <c r="C367" s="30">
        <v>26</v>
      </c>
      <c r="D367" s="30">
        <v>45</v>
      </c>
      <c r="E367" s="30">
        <v>49</v>
      </c>
      <c r="F367" s="35">
        <v>62</v>
      </c>
    </row>
    <row r="368" spans="2:6" ht="37.5" customHeight="1" thickBot="1" x14ac:dyDescent="0.3">
      <c r="B368" s="36" t="s">
        <v>10</v>
      </c>
      <c r="C368" s="37">
        <v>46</v>
      </c>
      <c r="D368" s="37"/>
      <c r="E368" s="142" t="s">
        <v>144</v>
      </c>
      <c r="F368" s="143"/>
    </row>
    <row r="369" spans="2:6" ht="15.75" thickBot="1" x14ac:dyDescent="0.3">
      <c r="B369" s="38"/>
      <c r="C369" s="38"/>
      <c r="D369" s="38"/>
      <c r="E369" s="38"/>
      <c r="F369" s="38"/>
    </row>
    <row r="370" spans="2:6" ht="37.5" customHeight="1" thickBot="1" x14ac:dyDescent="0.3">
      <c r="B370" s="23" t="s">
        <v>0</v>
      </c>
      <c r="C370" s="24" t="s">
        <v>1</v>
      </c>
      <c r="D370" s="24" t="s">
        <v>2</v>
      </c>
      <c r="E370" s="24" t="s">
        <v>3</v>
      </c>
      <c r="F370" s="25" t="s">
        <v>4</v>
      </c>
    </row>
    <row r="371" spans="2:6" ht="37.5" customHeight="1" x14ac:dyDescent="0.25">
      <c r="B371" s="26">
        <v>5</v>
      </c>
      <c r="C371" s="27">
        <v>19</v>
      </c>
      <c r="D371" s="27">
        <v>41</v>
      </c>
      <c r="E371" s="27">
        <v>54</v>
      </c>
      <c r="F371" s="22">
        <v>73</v>
      </c>
    </row>
    <row r="372" spans="2:6" ht="37.5" customHeight="1" thickBot="1" x14ac:dyDescent="0.3">
      <c r="B372" s="28">
        <v>13</v>
      </c>
      <c r="C372" s="29">
        <v>16</v>
      </c>
      <c r="D372" s="30">
        <v>35</v>
      </c>
      <c r="E372" s="29">
        <v>53</v>
      </c>
      <c r="F372" s="31">
        <v>62</v>
      </c>
    </row>
    <row r="373" spans="2:6" ht="37.5" customHeight="1" thickBot="1" x14ac:dyDescent="0.3">
      <c r="B373" s="28">
        <v>11</v>
      </c>
      <c r="C373" s="32">
        <v>30</v>
      </c>
      <c r="D373" s="18" t="s">
        <v>48</v>
      </c>
      <c r="E373" s="33">
        <v>59</v>
      </c>
      <c r="F373" s="31">
        <v>69</v>
      </c>
    </row>
    <row r="374" spans="2:6" ht="37.5" customHeight="1" x14ac:dyDescent="0.25">
      <c r="B374" s="28">
        <v>7</v>
      </c>
      <c r="C374" s="29">
        <v>28</v>
      </c>
      <c r="D374" s="27">
        <v>44</v>
      </c>
      <c r="E374" s="29">
        <v>52</v>
      </c>
      <c r="F374" s="31">
        <v>68</v>
      </c>
    </row>
    <row r="375" spans="2:6" ht="37.5" customHeight="1" thickBot="1" x14ac:dyDescent="0.3">
      <c r="B375" s="34">
        <v>9</v>
      </c>
      <c r="C375" s="30">
        <v>17</v>
      </c>
      <c r="D375" s="30">
        <v>31</v>
      </c>
      <c r="E375" s="30">
        <v>58</v>
      </c>
      <c r="F375" s="35">
        <v>72</v>
      </c>
    </row>
    <row r="376" spans="2:6" ht="37.5" customHeight="1" thickBot="1" x14ac:dyDescent="0.3">
      <c r="B376" s="36" t="s">
        <v>10</v>
      </c>
      <c r="C376" s="37">
        <v>47</v>
      </c>
      <c r="D376" s="37"/>
      <c r="E376" s="142" t="s">
        <v>144</v>
      </c>
      <c r="F376" s="143"/>
    </row>
    <row r="377" spans="2:6" ht="15.75" thickBot="1" x14ac:dyDescent="0.3">
      <c r="B377" s="38"/>
      <c r="C377" s="38"/>
      <c r="D377" s="38"/>
      <c r="E377" s="38"/>
      <c r="F377" s="38"/>
    </row>
    <row r="378" spans="2:6" ht="37.5" customHeight="1" thickBot="1" x14ac:dyDescent="0.3">
      <c r="B378" s="23" t="s">
        <v>0</v>
      </c>
      <c r="C378" s="24" t="s">
        <v>1</v>
      </c>
      <c r="D378" s="24" t="s">
        <v>2</v>
      </c>
      <c r="E378" s="24" t="s">
        <v>3</v>
      </c>
      <c r="F378" s="25" t="s">
        <v>4</v>
      </c>
    </row>
    <row r="379" spans="2:6" ht="37.5" customHeight="1" x14ac:dyDescent="0.25">
      <c r="B379" s="26">
        <v>7</v>
      </c>
      <c r="C379" s="27">
        <v>30</v>
      </c>
      <c r="D379" s="27">
        <v>44</v>
      </c>
      <c r="E379" s="27">
        <v>55</v>
      </c>
      <c r="F379" s="22">
        <v>69</v>
      </c>
    </row>
    <row r="380" spans="2:6" ht="37.5" customHeight="1" thickBot="1" x14ac:dyDescent="0.3">
      <c r="B380" s="28">
        <v>15</v>
      </c>
      <c r="C380" s="29">
        <v>28</v>
      </c>
      <c r="D380" s="30">
        <v>42</v>
      </c>
      <c r="E380" s="29">
        <v>47</v>
      </c>
      <c r="F380" s="31">
        <v>73</v>
      </c>
    </row>
    <row r="381" spans="2:6" ht="37.5" customHeight="1" thickBot="1" x14ac:dyDescent="0.3">
      <c r="B381" s="28">
        <v>3</v>
      </c>
      <c r="C381" s="32">
        <v>18</v>
      </c>
      <c r="D381" s="18" t="s">
        <v>48</v>
      </c>
      <c r="E381" s="33">
        <v>56</v>
      </c>
      <c r="F381" s="31">
        <v>75</v>
      </c>
    </row>
    <row r="382" spans="2:6" ht="37.5" customHeight="1" x14ac:dyDescent="0.25">
      <c r="B382" s="28">
        <v>11</v>
      </c>
      <c r="C382" s="29">
        <v>25</v>
      </c>
      <c r="D382" s="27">
        <v>36</v>
      </c>
      <c r="E382" s="29">
        <v>50</v>
      </c>
      <c r="F382" s="31">
        <v>64</v>
      </c>
    </row>
    <row r="383" spans="2:6" ht="37.5" customHeight="1" thickBot="1" x14ac:dyDescent="0.3">
      <c r="B383" s="34">
        <v>8</v>
      </c>
      <c r="C383" s="30">
        <v>20</v>
      </c>
      <c r="D383" s="30">
        <v>32</v>
      </c>
      <c r="E383" s="30">
        <v>54</v>
      </c>
      <c r="F383" s="35">
        <v>63</v>
      </c>
    </row>
    <row r="384" spans="2:6" ht="37.5" customHeight="1" thickBot="1" x14ac:dyDescent="0.3">
      <c r="B384" s="36" t="s">
        <v>10</v>
      </c>
      <c r="C384" s="37">
        <v>48</v>
      </c>
      <c r="D384" s="37"/>
      <c r="E384" s="142" t="s">
        <v>144</v>
      </c>
      <c r="F384" s="143"/>
    </row>
    <row r="385" spans="2:6" ht="15.75" thickBot="1" x14ac:dyDescent="0.3">
      <c r="B385" s="38"/>
      <c r="C385" s="38"/>
      <c r="D385" s="38"/>
      <c r="E385" s="38"/>
      <c r="F385" s="38"/>
    </row>
    <row r="386" spans="2:6" ht="37.5" customHeight="1" thickBot="1" x14ac:dyDescent="0.3">
      <c r="B386" s="23" t="s">
        <v>0</v>
      </c>
      <c r="C386" s="24" t="s">
        <v>1</v>
      </c>
      <c r="D386" s="24" t="s">
        <v>2</v>
      </c>
      <c r="E386" s="24" t="s">
        <v>3</v>
      </c>
      <c r="F386" s="25" t="s">
        <v>4</v>
      </c>
    </row>
    <row r="387" spans="2:6" ht="37.5" customHeight="1" x14ac:dyDescent="0.25">
      <c r="B387" s="26">
        <v>11</v>
      </c>
      <c r="C387" s="27">
        <v>24</v>
      </c>
      <c r="D387" s="27">
        <v>34</v>
      </c>
      <c r="E387" s="27">
        <v>60</v>
      </c>
      <c r="F387" s="22">
        <v>71</v>
      </c>
    </row>
    <row r="388" spans="2:6" ht="37.5" customHeight="1" thickBot="1" x14ac:dyDescent="0.3">
      <c r="B388" s="28">
        <v>13</v>
      </c>
      <c r="C388" s="29">
        <v>21</v>
      </c>
      <c r="D388" s="30">
        <v>43</v>
      </c>
      <c r="E388" s="29">
        <v>51</v>
      </c>
      <c r="F388" s="31">
        <v>65</v>
      </c>
    </row>
    <row r="389" spans="2:6" ht="37.5" customHeight="1" thickBot="1" x14ac:dyDescent="0.3">
      <c r="B389" s="28">
        <v>5</v>
      </c>
      <c r="C389" s="32">
        <v>23</v>
      </c>
      <c r="D389" s="18" t="s">
        <v>48</v>
      </c>
      <c r="E389" s="33">
        <v>50</v>
      </c>
      <c r="F389" s="31">
        <v>61</v>
      </c>
    </row>
    <row r="390" spans="2:6" ht="37.5" customHeight="1" x14ac:dyDescent="0.25">
      <c r="B390" s="28">
        <v>12</v>
      </c>
      <c r="C390" s="29">
        <v>27</v>
      </c>
      <c r="D390" s="27">
        <v>33</v>
      </c>
      <c r="E390" s="29">
        <v>56</v>
      </c>
      <c r="F390" s="31">
        <v>75</v>
      </c>
    </row>
    <row r="391" spans="2:6" ht="37.5" customHeight="1" thickBot="1" x14ac:dyDescent="0.3">
      <c r="B391" s="34">
        <v>6</v>
      </c>
      <c r="C391" s="30">
        <v>20</v>
      </c>
      <c r="D391" s="30">
        <v>38</v>
      </c>
      <c r="E391" s="30">
        <v>49</v>
      </c>
      <c r="F391" s="35">
        <v>66</v>
      </c>
    </row>
    <row r="392" spans="2:6" ht="37.5" customHeight="1" thickBot="1" x14ac:dyDescent="0.3">
      <c r="B392" s="36" t="s">
        <v>10</v>
      </c>
      <c r="C392" s="37">
        <v>49</v>
      </c>
      <c r="D392" s="37"/>
      <c r="E392" s="142" t="s">
        <v>144</v>
      </c>
      <c r="F392" s="143"/>
    </row>
    <row r="393" spans="2:6" ht="15.75" thickBot="1" x14ac:dyDescent="0.3">
      <c r="B393" s="38"/>
      <c r="C393" s="38"/>
      <c r="D393" s="38"/>
      <c r="E393" s="38"/>
      <c r="F393" s="38"/>
    </row>
    <row r="394" spans="2:6" ht="37.5" customHeight="1" thickBot="1" x14ac:dyDescent="0.3">
      <c r="B394" s="23" t="s">
        <v>0</v>
      </c>
      <c r="C394" s="24" t="s">
        <v>1</v>
      </c>
      <c r="D394" s="24" t="s">
        <v>2</v>
      </c>
      <c r="E394" s="24" t="s">
        <v>3</v>
      </c>
      <c r="F394" s="25" t="s">
        <v>4</v>
      </c>
    </row>
    <row r="395" spans="2:6" ht="37.5" customHeight="1" x14ac:dyDescent="0.25">
      <c r="B395" s="26">
        <v>6</v>
      </c>
      <c r="C395" s="27">
        <v>27</v>
      </c>
      <c r="D395" s="27">
        <v>45</v>
      </c>
      <c r="E395" s="27">
        <v>50</v>
      </c>
      <c r="F395" s="22">
        <v>72</v>
      </c>
    </row>
    <row r="396" spans="2:6" ht="37.5" customHeight="1" thickBot="1" x14ac:dyDescent="0.3">
      <c r="B396" s="28">
        <v>7</v>
      </c>
      <c r="C396" s="29">
        <v>22</v>
      </c>
      <c r="D396" s="30">
        <v>31</v>
      </c>
      <c r="E396" s="29">
        <v>48</v>
      </c>
      <c r="F396" s="31">
        <v>62</v>
      </c>
    </row>
    <row r="397" spans="2:6" ht="37.5" customHeight="1" thickBot="1" x14ac:dyDescent="0.3">
      <c r="B397" s="28">
        <v>11</v>
      </c>
      <c r="C397" s="32">
        <v>17</v>
      </c>
      <c r="D397" s="18" t="s">
        <v>48</v>
      </c>
      <c r="E397" s="33">
        <v>53</v>
      </c>
      <c r="F397" s="31">
        <v>70</v>
      </c>
    </row>
    <row r="398" spans="2:6" ht="37.5" customHeight="1" x14ac:dyDescent="0.25">
      <c r="B398" s="28">
        <v>4</v>
      </c>
      <c r="C398" s="29">
        <v>18</v>
      </c>
      <c r="D398" s="27">
        <v>35</v>
      </c>
      <c r="E398" s="29">
        <v>59</v>
      </c>
      <c r="F398" s="31">
        <v>71</v>
      </c>
    </row>
    <row r="399" spans="2:6" ht="37.5" customHeight="1" thickBot="1" x14ac:dyDescent="0.3">
      <c r="B399" s="34">
        <v>14</v>
      </c>
      <c r="C399" s="30">
        <v>19</v>
      </c>
      <c r="D399" s="30">
        <v>41</v>
      </c>
      <c r="E399" s="30">
        <v>46</v>
      </c>
      <c r="F399" s="35">
        <v>67</v>
      </c>
    </row>
    <row r="400" spans="2:6" ht="37.5" customHeight="1" thickBot="1" x14ac:dyDescent="0.3">
      <c r="B400" s="36" t="s">
        <v>10</v>
      </c>
      <c r="C400" s="37">
        <v>50</v>
      </c>
      <c r="D400" s="37"/>
      <c r="E400" s="142" t="s">
        <v>144</v>
      </c>
      <c r="F400" s="143"/>
    </row>
    <row r="401" spans="2:6" ht="15.75" thickBot="1" x14ac:dyDescent="0.3">
      <c r="B401" s="38"/>
      <c r="C401" s="38"/>
      <c r="D401" s="38"/>
      <c r="E401" s="38"/>
      <c r="F401" s="38"/>
    </row>
    <row r="402" spans="2:6" ht="37.5" customHeight="1" thickBot="1" x14ac:dyDescent="0.3">
      <c r="B402" s="23" t="s">
        <v>0</v>
      </c>
      <c r="C402" s="24" t="s">
        <v>1</v>
      </c>
      <c r="D402" s="24" t="s">
        <v>2</v>
      </c>
      <c r="E402" s="24" t="s">
        <v>3</v>
      </c>
      <c r="F402" s="25" t="s">
        <v>4</v>
      </c>
    </row>
    <row r="403" spans="2:6" ht="37.5" customHeight="1" x14ac:dyDescent="0.25">
      <c r="B403" s="26">
        <v>12</v>
      </c>
      <c r="C403" s="27">
        <v>20</v>
      </c>
      <c r="D403" s="27">
        <v>44</v>
      </c>
      <c r="E403" s="27">
        <v>57</v>
      </c>
      <c r="F403" s="22">
        <v>75</v>
      </c>
    </row>
    <row r="404" spans="2:6" ht="37.5" customHeight="1" thickBot="1" x14ac:dyDescent="0.3">
      <c r="B404" s="28">
        <v>3</v>
      </c>
      <c r="C404" s="29">
        <v>25</v>
      </c>
      <c r="D404" s="30">
        <v>38</v>
      </c>
      <c r="E404" s="29">
        <v>56</v>
      </c>
      <c r="F404" s="31">
        <v>72</v>
      </c>
    </row>
    <row r="405" spans="2:6" ht="37.5" customHeight="1" thickBot="1" x14ac:dyDescent="0.3">
      <c r="B405" s="28">
        <v>15</v>
      </c>
      <c r="C405" s="32">
        <v>18</v>
      </c>
      <c r="D405" s="18" t="s">
        <v>48</v>
      </c>
      <c r="E405" s="33">
        <v>49</v>
      </c>
      <c r="F405" s="31">
        <v>69</v>
      </c>
    </row>
    <row r="406" spans="2:6" ht="37.5" customHeight="1" x14ac:dyDescent="0.25">
      <c r="B406" s="28">
        <v>5</v>
      </c>
      <c r="C406" s="29">
        <v>29</v>
      </c>
      <c r="D406" s="27">
        <v>45</v>
      </c>
      <c r="E406" s="29">
        <v>48</v>
      </c>
      <c r="F406" s="31">
        <v>66</v>
      </c>
    </row>
    <row r="407" spans="2:6" ht="37.5" customHeight="1" thickBot="1" x14ac:dyDescent="0.3">
      <c r="B407" s="34">
        <v>2</v>
      </c>
      <c r="C407" s="30">
        <v>22</v>
      </c>
      <c r="D407" s="30">
        <v>37</v>
      </c>
      <c r="E407" s="30">
        <v>55</v>
      </c>
      <c r="F407" s="35">
        <v>65</v>
      </c>
    </row>
    <row r="408" spans="2:6" ht="37.5" customHeight="1" thickBot="1" x14ac:dyDescent="0.3">
      <c r="B408" s="36" t="s">
        <v>10</v>
      </c>
      <c r="C408" s="37">
        <v>51</v>
      </c>
      <c r="D408" s="37"/>
      <c r="E408" s="142" t="s">
        <v>144</v>
      </c>
      <c r="F408" s="143"/>
    </row>
    <row r="409" spans="2:6" ht="15.75" thickBot="1" x14ac:dyDescent="0.3">
      <c r="B409" s="38"/>
      <c r="C409" s="38"/>
      <c r="D409" s="38"/>
      <c r="E409" s="38"/>
      <c r="F409" s="38"/>
    </row>
    <row r="410" spans="2:6" ht="37.5" customHeight="1" thickBot="1" x14ac:dyDescent="0.3">
      <c r="B410" s="23" t="s">
        <v>0</v>
      </c>
      <c r="C410" s="24" t="s">
        <v>1</v>
      </c>
      <c r="D410" s="24" t="s">
        <v>2</v>
      </c>
      <c r="E410" s="24" t="s">
        <v>3</v>
      </c>
      <c r="F410" s="25" t="s">
        <v>4</v>
      </c>
    </row>
    <row r="411" spans="2:6" ht="37.5" customHeight="1" x14ac:dyDescent="0.25">
      <c r="B411" s="26">
        <v>12</v>
      </c>
      <c r="C411" s="27">
        <v>30</v>
      </c>
      <c r="D411" s="27">
        <v>32</v>
      </c>
      <c r="E411" s="27">
        <v>46</v>
      </c>
      <c r="F411" s="22">
        <v>65</v>
      </c>
    </row>
    <row r="412" spans="2:6" ht="37.5" customHeight="1" thickBot="1" x14ac:dyDescent="0.3">
      <c r="B412" s="28">
        <v>4</v>
      </c>
      <c r="C412" s="29">
        <v>28</v>
      </c>
      <c r="D412" s="30">
        <v>40</v>
      </c>
      <c r="E412" s="29">
        <v>53</v>
      </c>
      <c r="F412" s="31">
        <v>70</v>
      </c>
    </row>
    <row r="413" spans="2:6" ht="37.5" customHeight="1" thickBot="1" x14ac:dyDescent="0.3">
      <c r="B413" s="28">
        <v>11</v>
      </c>
      <c r="C413" s="32">
        <v>25</v>
      </c>
      <c r="D413" s="18" t="s">
        <v>48</v>
      </c>
      <c r="E413" s="33">
        <v>55</v>
      </c>
      <c r="F413" s="31">
        <v>66</v>
      </c>
    </row>
    <row r="414" spans="2:6" ht="37.5" customHeight="1" x14ac:dyDescent="0.25">
      <c r="B414" s="28">
        <v>10</v>
      </c>
      <c r="C414" s="29">
        <v>17</v>
      </c>
      <c r="D414" s="27">
        <v>42</v>
      </c>
      <c r="E414" s="29">
        <v>58</v>
      </c>
      <c r="F414" s="31">
        <v>69</v>
      </c>
    </row>
    <row r="415" spans="2:6" ht="37.5" customHeight="1" thickBot="1" x14ac:dyDescent="0.3">
      <c r="B415" s="34">
        <v>3</v>
      </c>
      <c r="C415" s="30">
        <v>22</v>
      </c>
      <c r="D415" s="30">
        <v>37</v>
      </c>
      <c r="E415" s="30">
        <v>50</v>
      </c>
      <c r="F415" s="35">
        <v>63</v>
      </c>
    </row>
    <row r="416" spans="2:6" ht="37.5" customHeight="1" thickBot="1" x14ac:dyDescent="0.3">
      <c r="B416" s="36" t="s">
        <v>10</v>
      </c>
      <c r="C416" s="37">
        <v>52</v>
      </c>
      <c r="D416" s="37"/>
      <c r="E416" s="142" t="s">
        <v>144</v>
      </c>
      <c r="F416" s="143"/>
    </row>
    <row r="417" spans="2:6" ht="15.75" thickBot="1" x14ac:dyDescent="0.3">
      <c r="B417" s="38"/>
      <c r="C417" s="38"/>
      <c r="D417" s="38"/>
      <c r="E417" s="38"/>
      <c r="F417" s="38"/>
    </row>
    <row r="418" spans="2:6" ht="37.5" customHeight="1" thickBot="1" x14ac:dyDescent="0.3">
      <c r="B418" s="23" t="s">
        <v>0</v>
      </c>
      <c r="C418" s="24" t="s">
        <v>1</v>
      </c>
      <c r="D418" s="24" t="s">
        <v>2</v>
      </c>
      <c r="E418" s="24" t="s">
        <v>3</v>
      </c>
      <c r="F418" s="25" t="s">
        <v>4</v>
      </c>
    </row>
    <row r="419" spans="2:6" ht="37.5" customHeight="1" x14ac:dyDescent="0.25">
      <c r="B419" s="26">
        <v>11</v>
      </c>
      <c r="C419" s="27">
        <v>26</v>
      </c>
      <c r="D419" s="27">
        <v>33</v>
      </c>
      <c r="E419" s="27">
        <v>56</v>
      </c>
      <c r="F419" s="22">
        <v>68</v>
      </c>
    </row>
    <row r="420" spans="2:6" ht="37.5" customHeight="1" thickBot="1" x14ac:dyDescent="0.3">
      <c r="B420" s="28">
        <v>15</v>
      </c>
      <c r="C420" s="29">
        <v>19</v>
      </c>
      <c r="D420" s="30">
        <v>44</v>
      </c>
      <c r="E420" s="29">
        <v>60</v>
      </c>
      <c r="F420" s="31">
        <v>66</v>
      </c>
    </row>
    <row r="421" spans="2:6" ht="37.5" customHeight="1" thickBot="1" x14ac:dyDescent="0.3">
      <c r="B421" s="28">
        <v>12</v>
      </c>
      <c r="C421" s="32">
        <v>30</v>
      </c>
      <c r="D421" s="18" t="s">
        <v>48</v>
      </c>
      <c r="E421" s="33">
        <v>52</v>
      </c>
      <c r="F421" s="31">
        <v>69</v>
      </c>
    </row>
    <row r="422" spans="2:6" ht="37.5" customHeight="1" x14ac:dyDescent="0.25">
      <c r="B422" s="28">
        <v>3</v>
      </c>
      <c r="C422" s="29">
        <v>28</v>
      </c>
      <c r="D422" s="27">
        <v>32</v>
      </c>
      <c r="E422" s="29">
        <v>59</v>
      </c>
      <c r="F422" s="31">
        <v>61</v>
      </c>
    </row>
    <row r="423" spans="2:6" ht="37.5" customHeight="1" thickBot="1" x14ac:dyDescent="0.3">
      <c r="B423" s="34">
        <v>5</v>
      </c>
      <c r="C423" s="30">
        <v>29</v>
      </c>
      <c r="D423" s="30">
        <v>42</v>
      </c>
      <c r="E423" s="30">
        <v>48</v>
      </c>
      <c r="F423" s="35">
        <v>71</v>
      </c>
    </row>
    <row r="424" spans="2:6" ht="37.5" customHeight="1" thickBot="1" x14ac:dyDescent="0.3">
      <c r="B424" s="36" t="s">
        <v>10</v>
      </c>
      <c r="C424" s="37">
        <v>53</v>
      </c>
      <c r="D424" s="37"/>
      <c r="E424" s="142" t="s">
        <v>144</v>
      </c>
      <c r="F424" s="143"/>
    </row>
    <row r="425" spans="2:6" ht="15.75" thickBot="1" x14ac:dyDescent="0.3">
      <c r="B425" s="38"/>
      <c r="C425" s="38"/>
      <c r="D425" s="38"/>
      <c r="E425" s="38"/>
      <c r="F425" s="38"/>
    </row>
    <row r="426" spans="2:6" ht="37.5" customHeight="1" thickBot="1" x14ac:dyDescent="0.3">
      <c r="B426" s="23" t="s">
        <v>0</v>
      </c>
      <c r="C426" s="24" t="s">
        <v>1</v>
      </c>
      <c r="D426" s="24" t="s">
        <v>2</v>
      </c>
      <c r="E426" s="24" t="s">
        <v>3</v>
      </c>
      <c r="F426" s="25" t="s">
        <v>4</v>
      </c>
    </row>
    <row r="427" spans="2:6" ht="37.5" customHeight="1" x14ac:dyDescent="0.25">
      <c r="B427" s="26">
        <v>2</v>
      </c>
      <c r="C427" s="27">
        <v>27</v>
      </c>
      <c r="D427" s="27">
        <v>36</v>
      </c>
      <c r="E427" s="27">
        <v>55</v>
      </c>
      <c r="F427" s="22">
        <v>61</v>
      </c>
    </row>
    <row r="428" spans="2:6" ht="37.5" customHeight="1" thickBot="1" x14ac:dyDescent="0.3">
      <c r="B428" s="28">
        <v>4</v>
      </c>
      <c r="C428" s="29">
        <v>23</v>
      </c>
      <c r="D428" s="30">
        <v>34</v>
      </c>
      <c r="E428" s="29">
        <v>52</v>
      </c>
      <c r="F428" s="31">
        <v>69</v>
      </c>
    </row>
    <row r="429" spans="2:6" ht="37.5" customHeight="1" thickBot="1" x14ac:dyDescent="0.3">
      <c r="B429" s="28">
        <v>13</v>
      </c>
      <c r="C429" s="32">
        <v>26</v>
      </c>
      <c r="D429" s="18" t="s">
        <v>48</v>
      </c>
      <c r="E429" s="33">
        <v>58</v>
      </c>
      <c r="F429" s="31">
        <v>70</v>
      </c>
    </row>
    <row r="430" spans="2:6" ht="37.5" customHeight="1" x14ac:dyDescent="0.25">
      <c r="B430" s="28">
        <v>12</v>
      </c>
      <c r="C430" s="29">
        <v>20</v>
      </c>
      <c r="D430" s="27">
        <v>37</v>
      </c>
      <c r="E430" s="29">
        <v>56</v>
      </c>
      <c r="F430" s="31">
        <v>63</v>
      </c>
    </row>
    <row r="431" spans="2:6" ht="37.5" customHeight="1" thickBot="1" x14ac:dyDescent="0.3">
      <c r="B431" s="34">
        <v>15</v>
      </c>
      <c r="C431" s="30">
        <v>17</v>
      </c>
      <c r="D431" s="30">
        <v>35</v>
      </c>
      <c r="E431" s="30">
        <v>60</v>
      </c>
      <c r="F431" s="35">
        <v>68</v>
      </c>
    </row>
    <row r="432" spans="2:6" ht="37.5" customHeight="1" thickBot="1" x14ac:dyDescent="0.3">
      <c r="B432" s="36" t="s">
        <v>10</v>
      </c>
      <c r="C432" s="37">
        <v>54</v>
      </c>
      <c r="D432" s="37"/>
      <c r="E432" s="142" t="s">
        <v>144</v>
      </c>
      <c r="F432" s="143"/>
    </row>
    <row r="433" spans="2:6" ht="15.75" thickBot="1" x14ac:dyDescent="0.3">
      <c r="B433" s="38"/>
      <c r="C433" s="38"/>
      <c r="D433" s="38"/>
      <c r="E433" s="38"/>
      <c r="F433" s="38"/>
    </row>
    <row r="434" spans="2:6" ht="37.5" customHeight="1" thickBot="1" x14ac:dyDescent="0.3">
      <c r="B434" s="23" t="s">
        <v>0</v>
      </c>
      <c r="C434" s="24" t="s">
        <v>1</v>
      </c>
      <c r="D434" s="24" t="s">
        <v>2</v>
      </c>
      <c r="E434" s="24" t="s">
        <v>3</v>
      </c>
      <c r="F434" s="25" t="s">
        <v>4</v>
      </c>
    </row>
    <row r="435" spans="2:6" ht="37.5" customHeight="1" x14ac:dyDescent="0.25">
      <c r="B435" s="26">
        <v>7</v>
      </c>
      <c r="C435" s="27">
        <v>29</v>
      </c>
      <c r="D435" s="27">
        <v>44</v>
      </c>
      <c r="E435" s="27">
        <v>60</v>
      </c>
      <c r="F435" s="22">
        <v>71</v>
      </c>
    </row>
    <row r="436" spans="2:6" ht="37.5" customHeight="1" thickBot="1" x14ac:dyDescent="0.3">
      <c r="B436" s="28">
        <v>15</v>
      </c>
      <c r="C436" s="29">
        <v>28</v>
      </c>
      <c r="D436" s="30">
        <v>38</v>
      </c>
      <c r="E436" s="29">
        <v>58</v>
      </c>
      <c r="F436" s="31">
        <v>65</v>
      </c>
    </row>
    <row r="437" spans="2:6" ht="37.5" customHeight="1" thickBot="1" x14ac:dyDescent="0.3">
      <c r="B437" s="28">
        <v>9</v>
      </c>
      <c r="C437" s="32">
        <v>20</v>
      </c>
      <c r="D437" s="18" t="s">
        <v>48</v>
      </c>
      <c r="E437" s="33">
        <v>50</v>
      </c>
      <c r="F437" s="31">
        <v>75</v>
      </c>
    </row>
    <row r="438" spans="2:6" ht="37.5" customHeight="1" x14ac:dyDescent="0.25">
      <c r="B438" s="28">
        <v>12</v>
      </c>
      <c r="C438" s="29">
        <v>23</v>
      </c>
      <c r="D438" s="27">
        <v>45</v>
      </c>
      <c r="E438" s="29">
        <v>49</v>
      </c>
      <c r="F438" s="31">
        <v>63</v>
      </c>
    </row>
    <row r="439" spans="2:6" ht="37.5" customHeight="1" thickBot="1" x14ac:dyDescent="0.3">
      <c r="B439" s="34">
        <v>5</v>
      </c>
      <c r="C439" s="30">
        <v>19</v>
      </c>
      <c r="D439" s="30">
        <v>31</v>
      </c>
      <c r="E439" s="30">
        <v>52</v>
      </c>
      <c r="F439" s="35">
        <v>70</v>
      </c>
    </row>
    <row r="440" spans="2:6" ht="37.5" customHeight="1" thickBot="1" x14ac:dyDescent="0.3">
      <c r="B440" s="36" t="s">
        <v>10</v>
      </c>
      <c r="C440" s="37">
        <v>55</v>
      </c>
      <c r="D440" s="37"/>
      <c r="E440" s="142" t="s">
        <v>144</v>
      </c>
      <c r="F440" s="143"/>
    </row>
    <row r="441" spans="2:6" ht="15.75" thickBot="1" x14ac:dyDescent="0.3">
      <c r="B441" s="38"/>
      <c r="C441" s="38"/>
      <c r="D441" s="38"/>
      <c r="E441" s="38"/>
      <c r="F441" s="38"/>
    </row>
    <row r="442" spans="2:6" ht="37.5" customHeight="1" thickBot="1" x14ac:dyDescent="0.3">
      <c r="B442" s="23" t="s">
        <v>0</v>
      </c>
      <c r="C442" s="24" t="s">
        <v>1</v>
      </c>
      <c r="D442" s="24" t="s">
        <v>2</v>
      </c>
      <c r="E442" s="24" t="s">
        <v>3</v>
      </c>
      <c r="F442" s="25" t="s">
        <v>4</v>
      </c>
    </row>
    <row r="443" spans="2:6" ht="37.5" customHeight="1" x14ac:dyDescent="0.25">
      <c r="B443" s="26">
        <v>1</v>
      </c>
      <c r="C443" s="27">
        <v>16</v>
      </c>
      <c r="D443" s="27">
        <v>36</v>
      </c>
      <c r="E443" s="27">
        <v>49</v>
      </c>
      <c r="F443" s="22">
        <v>70</v>
      </c>
    </row>
    <row r="444" spans="2:6" ht="37.5" customHeight="1" thickBot="1" x14ac:dyDescent="0.3">
      <c r="B444" s="28">
        <v>14</v>
      </c>
      <c r="C444" s="29">
        <v>30</v>
      </c>
      <c r="D444" s="30">
        <v>39</v>
      </c>
      <c r="E444" s="29">
        <v>54</v>
      </c>
      <c r="F444" s="31">
        <v>63</v>
      </c>
    </row>
    <row r="445" spans="2:6" ht="37.5" customHeight="1" thickBot="1" x14ac:dyDescent="0.3">
      <c r="B445" s="28">
        <v>8</v>
      </c>
      <c r="C445" s="32">
        <v>24</v>
      </c>
      <c r="D445" s="18" t="s">
        <v>48</v>
      </c>
      <c r="E445" s="33">
        <v>58</v>
      </c>
      <c r="F445" s="31">
        <v>72</v>
      </c>
    </row>
    <row r="446" spans="2:6" ht="37.5" customHeight="1" x14ac:dyDescent="0.25">
      <c r="B446" s="28">
        <v>2</v>
      </c>
      <c r="C446" s="29">
        <v>25</v>
      </c>
      <c r="D446" s="27">
        <v>33</v>
      </c>
      <c r="E446" s="29">
        <v>60</v>
      </c>
      <c r="F446" s="31">
        <v>71</v>
      </c>
    </row>
    <row r="447" spans="2:6" ht="37.5" customHeight="1" thickBot="1" x14ac:dyDescent="0.3">
      <c r="B447" s="34">
        <v>6</v>
      </c>
      <c r="C447" s="30">
        <v>27</v>
      </c>
      <c r="D447" s="30">
        <v>41</v>
      </c>
      <c r="E447" s="30">
        <v>51</v>
      </c>
      <c r="F447" s="35">
        <v>74</v>
      </c>
    </row>
    <row r="448" spans="2:6" ht="37.5" customHeight="1" thickBot="1" x14ac:dyDescent="0.3">
      <c r="B448" s="36" t="s">
        <v>10</v>
      </c>
      <c r="C448" s="37">
        <v>56</v>
      </c>
      <c r="D448" s="37"/>
      <c r="E448" s="142" t="s">
        <v>144</v>
      </c>
      <c r="F448" s="143"/>
    </row>
    <row r="449" spans="2:6" ht="15.75" thickBot="1" x14ac:dyDescent="0.3">
      <c r="B449" s="38"/>
      <c r="C449" s="38"/>
      <c r="D449" s="38"/>
      <c r="E449" s="38"/>
      <c r="F449" s="38"/>
    </row>
    <row r="450" spans="2:6" ht="37.5" customHeight="1" thickBot="1" x14ac:dyDescent="0.3">
      <c r="B450" s="23" t="s">
        <v>0</v>
      </c>
      <c r="C450" s="24" t="s">
        <v>1</v>
      </c>
      <c r="D450" s="24" t="s">
        <v>2</v>
      </c>
      <c r="E450" s="24" t="s">
        <v>3</v>
      </c>
      <c r="F450" s="25" t="s">
        <v>4</v>
      </c>
    </row>
    <row r="451" spans="2:6" ht="37.5" customHeight="1" x14ac:dyDescent="0.25">
      <c r="B451" s="26">
        <v>13</v>
      </c>
      <c r="C451" s="27">
        <v>17</v>
      </c>
      <c r="D451" s="27">
        <v>33</v>
      </c>
      <c r="E451" s="27">
        <v>46</v>
      </c>
      <c r="F451" s="22">
        <v>75</v>
      </c>
    </row>
    <row r="452" spans="2:6" ht="37.5" customHeight="1" thickBot="1" x14ac:dyDescent="0.3">
      <c r="B452" s="28">
        <v>10</v>
      </c>
      <c r="C452" s="29">
        <v>30</v>
      </c>
      <c r="D452" s="30">
        <v>43</v>
      </c>
      <c r="E452" s="29">
        <v>52</v>
      </c>
      <c r="F452" s="31">
        <v>71</v>
      </c>
    </row>
    <row r="453" spans="2:6" ht="37.5" customHeight="1" thickBot="1" x14ac:dyDescent="0.3">
      <c r="B453" s="28">
        <v>5</v>
      </c>
      <c r="C453" s="32">
        <v>19</v>
      </c>
      <c r="D453" s="18" t="s">
        <v>48</v>
      </c>
      <c r="E453" s="33">
        <v>50</v>
      </c>
      <c r="F453" s="31">
        <v>61</v>
      </c>
    </row>
    <row r="454" spans="2:6" ht="37.5" customHeight="1" x14ac:dyDescent="0.25">
      <c r="B454" s="28">
        <v>7</v>
      </c>
      <c r="C454" s="29">
        <v>29</v>
      </c>
      <c r="D454" s="27">
        <v>34</v>
      </c>
      <c r="E454" s="29">
        <v>55</v>
      </c>
      <c r="F454" s="31">
        <v>66</v>
      </c>
    </row>
    <row r="455" spans="2:6" ht="37.5" customHeight="1" thickBot="1" x14ac:dyDescent="0.3">
      <c r="B455" s="34">
        <v>9</v>
      </c>
      <c r="C455" s="30">
        <v>24</v>
      </c>
      <c r="D455" s="30">
        <v>35</v>
      </c>
      <c r="E455" s="30">
        <v>51</v>
      </c>
      <c r="F455" s="35">
        <v>69</v>
      </c>
    </row>
    <row r="456" spans="2:6" ht="37.5" customHeight="1" thickBot="1" x14ac:dyDescent="0.3">
      <c r="B456" s="36" t="s">
        <v>10</v>
      </c>
      <c r="C456" s="37">
        <v>57</v>
      </c>
      <c r="D456" s="37"/>
      <c r="E456" s="142" t="s">
        <v>144</v>
      </c>
      <c r="F456" s="143"/>
    </row>
    <row r="457" spans="2:6" ht="15.75" thickBot="1" x14ac:dyDescent="0.3">
      <c r="B457" s="38"/>
      <c r="C457" s="38"/>
      <c r="D457" s="38"/>
      <c r="E457" s="38"/>
      <c r="F457" s="38"/>
    </row>
    <row r="458" spans="2:6" ht="37.5" customHeight="1" thickBot="1" x14ac:dyDescent="0.3">
      <c r="B458" s="23" t="s">
        <v>0</v>
      </c>
      <c r="C458" s="24" t="s">
        <v>1</v>
      </c>
      <c r="D458" s="24" t="s">
        <v>2</v>
      </c>
      <c r="E458" s="24" t="s">
        <v>3</v>
      </c>
      <c r="F458" s="25" t="s">
        <v>4</v>
      </c>
    </row>
    <row r="459" spans="2:6" ht="37.5" customHeight="1" x14ac:dyDescent="0.25">
      <c r="B459" s="26">
        <v>4</v>
      </c>
      <c r="C459" s="27">
        <v>26</v>
      </c>
      <c r="D459" s="27">
        <v>31</v>
      </c>
      <c r="E459" s="27">
        <v>51</v>
      </c>
      <c r="F459" s="22">
        <v>75</v>
      </c>
    </row>
    <row r="460" spans="2:6" ht="37.5" customHeight="1" thickBot="1" x14ac:dyDescent="0.3">
      <c r="B460" s="28">
        <v>15</v>
      </c>
      <c r="C460" s="29">
        <v>30</v>
      </c>
      <c r="D460" s="30">
        <v>32</v>
      </c>
      <c r="E460" s="29">
        <v>57</v>
      </c>
      <c r="F460" s="31">
        <v>70</v>
      </c>
    </row>
    <row r="461" spans="2:6" ht="37.5" customHeight="1" thickBot="1" x14ac:dyDescent="0.3">
      <c r="B461" s="28">
        <v>7</v>
      </c>
      <c r="C461" s="32">
        <v>23</v>
      </c>
      <c r="D461" s="18" t="s">
        <v>48</v>
      </c>
      <c r="E461" s="33">
        <v>49</v>
      </c>
      <c r="F461" s="31">
        <v>73</v>
      </c>
    </row>
    <row r="462" spans="2:6" ht="37.5" customHeight="1" x14ac:dyDescent="0.25">
      <c r="B462" s="28">
        <v>5</v>
      </c>
      <c r="C462" s="29">
        <v>20</v>
      </c>
      <c r="D462" s="27">
        <v>41</v>
      </c>
      <c r="E462" s="29">
        <v>50</v>
      </c>
      <c r="F462" s="31">
        <v>68</v>
      </c>
    </row>
    <row r="463" spans="2:6" ht="37.5" customHeight="1" thickBot="1" x14ac:dyDescent="0.3">
      <c r="B463" s="34">
        <v>14</v>
      </c>
      <c r="C463" s="30">
        <v>28</v>
      </c>
      <c r="D463" s="30">
        <v>34</v>
      </c>
      <c r="E463" s="30">
        <v>53</v>
      </c>
      <c r="F463" s="35">
        <v>65</v>
      </c>
    </row>
    <row r="464" spans="2:6" ht="37.5" customHeight="1" thickBot="1" x14ac:dyDescent="0.3">
      <c r="B464" s="36" t="s">
        <v>10</v>
      </c>
      <c r="C464" s="37">
        <v>58</v>
      </c>
      <c r="D464" s="37"/>
      <c r="E464" s="142" t="s">
        <v>144</v>
      </c>
      <c r="F464" s="143"/>
    </row>
    <row r="465" spans="2:6" ht="15.75" thickBot="1" x14ac:dyDescent="0.3">
      <c r="B465" s="38"/>
      <c r="C465" s="38"/>
      <c r="D465" s="38"/>
      <c r="E465" s="38"/>
      <c r="F465" s="38"/>
    </row>
    <row r="466" spans="2:6" ht="37.5" customHeight="1" thickBot="1" x14ac:dyDescent="0.3">
      <c r="B466" s="23" t="s">
        <v>0</v>
      </c>
      <c r="C466" s="24" t="s">
        <v>1</v>
      </c>
      <c r="D466" s="24" t="s">
        <v>2</v>
      </c>
      <c r="E466" s="24" t="s">
        <v>3</v>
      </c>
      <c r="F466" s="25" t="s">
        <v>4</v>
      </c>
    </row>
    <row r="467" spans="2:6" ht="37.5" customHeight="1" x14ac:dyDescent="0.25">
      <c r="B467" s="26">
        <v>13</v>
      </c>
      <c r="C467" s="27">
        <v>22</v>
      </c>
      <c r="D467" s="27">
        <v>45</v>
      </c>
      <c r="E467" s="27">
        <v>58</v>
      </c>
      <c r="F467" s="22">
        <v>71</v>
      </c>
    </row>
    <row r="468" spans="2:6" ht="37.5" customHeight="1" thickBot="1" x14ac:dyDescent="0.3">
      <c r="B468" s="28">
        <v>9</v>
      </c>
      <c r="C468" s="29">
        <v>24</v>
      </c>
      <c r="D468" s="30">
        <v>44</v>
      </c>
      <c r="E468" s="29">
        <v>51</v>
      </c>
      <c r="F468" s="31">
        <v>62</v>
      </c>
    </row>
    <row r="469" spans="2:6" ht="37.5" customHeight="1" thickBot="1" x14ac:dyDescent="0.3">
      <c r="B469" s="28">
        <v>5</v>
      </c>
      <c r="C469" s="32">
        <v>18</v>
      </c>
      <c r="D469" s="18" t="s">
        <v>48</v>
      </c>
      <c r="E469" s="33">
        <v>52</v>
      </c>
      <c r="F469" s="31">
        <v>61</v>
      </c>
    </row>
    <row r="470" spans="2:6" ht="37.5" customHeight="1" x14ac:dyDescent="0.25">
      <c r="B470" s="28">
        <v>1</v>
      </c>
      <c r="C470" s="29">
        <v>25</v>
      </c>
      <c r="D470" s="27">
        <v>43</v>
      </c>
      <c r="E470" s="29">
        <v>55</v>
      </c>
      <c r="F470" s="31">
        <v>65</v>
      </c>
    </row>
    <row r="471" spans="2:6" ht="37.5" customHeight="1" thickBot="1" x14ac:dyDescent="0.3">
      <c r="B471" s="34">
        <v>14</v>
      </c>
      <c r="C471" s="30">
        <v>17</v>
      </c>
      <c r="D471" s="30">
        <v>36</v>
      </c>
      <c r="E471" s="30">
        <v>48</v>
      </c>
      <c r="F471" s="35">
        <v>69</v>
      </c>
    </row>
    <row r="472" spans="2:6" ht="37.5" customHeight="1" thickBot="1" x14ac:dyDescent="0.3">
      <c r="B472" s="36" t="s">
        <v>10</v>
      </c>
      <c r="C472" s="37">
        <v>59</v>
      </c>
      <c r="D472" s="37"/>
      <c r="E472" s="142" t="s">
        <v>144</v>
      </c>
      <c r="F472" s="143"/>
    </row>
    <row r="473" spans="2:6" ht="15.75" thickBot="1" x14ac:dyDescent="0.3">
      <c r="B473" s="38"/>
      <c r="C473" s="38"/>
      <c r="D473" s="38"/>
      <c r="E473" s="38"/>
      <c r="F473" s="38"/>
    </row>
    <row r="474" spans="2:6" ht="37.5" customHeight="1" thickBot="1" x14ac:dyDescent="0.3">
      <c r="B474" s="23" t="s">
        <v>0</v>
      </c>
      <c r="C474" s="24" t="s">
        <v>1</v>
      </c>
      <c r="D474" s="24" t="s">
        <v>2</v>
      </c>
      <c r="E474" s="24" t="s">
        <v>3</v>
      </c>
      <c r="F474" s="25" t="s">
        <v>4</v>
      </c>
    </row>
    <row r="475" spans="2:6" ht="37.5" customHeight="1" x14ac:dyDescent="0.25">
      <c r="B475" s="26">
        <v>6</v>
      </c>
      <c r="C475" s="27">
        <v>22</v>
      </c>
      <c r="D475" s="27">
        <v>34</v>
      </c>
      <c r="E475" s="27">
        <v>52</v>
      </c>
      <c r="F475" s="22">
        <v>73</v>
      </c>
    </row>
    <row r="476" spans="2:6" ht="37.5" customHeight="1" thickBot="1" x14ac:dyDescent="0.3">
      <c r="B476" s="28">
        <v>11</v>
      </c>
      <c r="C476" s="29">
        <v>21</v>
      </c>
      <c r="D476" s="30">
        <v>40</v>
      </c>
      <c r="E476" s="29">
        <v>54</v>
      </c>
      <c r="F476" s="31">
        <v>68</v>
      </c>
    </row>
    <row r="477" spans="2:6" ht="37.5" customHeight="1" thickBot="1" x14ac:dyDescent="0.3">
      <c r="B477" s="28">
        <v>9</v>
      </c>
      <c r="C477" s="32">
        <v>30</v>
      </c>
      <c r="D477" s="18" t="s">
        <v>48</v>
      </c>
      <c r="E477" s="33">
        <v>50</v>
      </c>
      <c r="F477" s="31">
        <v>67</v>
      </c>
    </row>
    <row r="478" spans="2:6" ht="37.5" customHeight="1" x14ac:dyDescent="0.25">
      <c r="B478" s="28">
        <v>5</v>
      </c>
      <c r="C478" s="29">
        <v>20</v>
      </c>
      <c r="D478" s="27">
        <v>38</v>
      </c>
      <c r="E478" s="29">
        <v>48</v>
      </c>
      <c r="F478" s="31">
        <v>66</v>
      </c>
    </row>
    <row r="479" spans="2:6" ht="37.5" customHeight="1" thickBot="1" x14ac:dyDescent="0.3">
      <c r="B479" s="34">
        <v>4</v>
      </c>
      <c r="C479" s="30">
        <v>19</v>
      </c>
      <c r="D479" s="30">
        <v>44</v>
      </c>
      <c r="E479" s="30">
        <v>47</v>
      </c>
      <c r="F479" s="35">
        <v>61</v>
      </c>
    </row>
    <row r="480" spans="2:6" ht="37.5" customHeight="1" thickBot="1" x14ac:dyDescent="0.3">
      <c r="B480" s="36" t="s">
        <v>10</v>
      </c>
      <c r="C480" s="37">
        <v>60</v>
      </c>
      <c r="D480" s="37"/>
      <c r="E480" s="142" t="s">
        <v>144</v>
      </c>
      <c r="F480" s="143"/>
    </row>
    <row r="481" spans="2:6" ht="15.75" thickBot="1" x14ac:dyDescent="0.3">
      <c r="B481" s="38"/>
      <c r="C481" s="38"/>
      <c r="D481" s="38"/>
      <c r="E481" s="38"/>
      <c r="F481" s="38"/>
    </row>
    <row r="482" spans="2:6" ht="37.5" customHeight="1" thickBot="1" x14ac:dyDescent="0.3">
      <c r="B482" s="23" t="s">
        <v>0</v>
      </c>
      <c r="C482" s="24" t="s">
        <v>1</v>
      </c>
      <c r="D482" s="24" t="s">
        <v>2</v>
      </c>
      <c r="E482" s="24" t="s">
        <v>3</v>
      </c>
      <c r="F482" s="25" t="s">
        <v>4</v>
      </c>
    </row>
    <row r="483" spans="2:6" ht="37.5" customHeight="1" x14ac:dyDescent="0.25">
      <c r="B483" s="26">
        <v>15</v>
      </c>
      <c r="C483" s="27">
        <v>28</v>
      </c>
      <c r="D483" s="27">
        <v>38</v>
      </c>
      <c r="E483" s="27">
        <v>56</v>
      </c>
      <c r="F483" s="22">
        <v>75</v>
      </c>
    </row>
    <row r="484" spans="2:6" ht="37.5" customHeight="1" thickBot="1" x14ac:dyDescent="0.3">
      <c r="B484" s="28">
        <v>9</v>
      </c>
      <c r="C484" s="29">
        <v>26</v>
      </c>
      <c r="D484" s="30">
        <v>32</v>
      </c>
      <c r="E484" s="29">
        <v>57</v>
      </c>
      <c r="F484" s="31">
        <v>72</v>
      </c>
    </row>
    <row r="485" spans="2:6" ht="37.5" customHeight="1" thickBot="1" x14ac:dyDescent="0.3">
      <c r="B485" s="28">
        <v>5</v>
      </c>
      <c r="C485" s="32">
        <v>29</v>
      </c>
      <c r="D485" s="18" t="s">
        <v>48</v>
      </c>
      <c r="E485" s="33">
        <v>46</v>
      </c>
      <c r="F485" s="31">
        <v>63</v>
      </c>
    </row>
    <row r="486" spans="2:6" ht="37.5" customHeight="1" x14ac:dyDescent="0.25">
      <c r="B486" s="28">
        <v>8</v>
      </c>
      <c r="C486" s="29">
        <v>19</v>
      </c>
      <c r="D486" s="27">
        <v>33</v>
      </c>
      <c r="E486" s="29">
        <v>49</v>
      </c>
      <c r="F486" s="31">
        <v>70</v>
      </c>
    </row>
    <row r="487" spans="2:6" ht="37.5" customHeight="1" thickBot="1" x14ac:dyDescent="0.3">
      <c r="B487" s="34">
        <v>6</v>
      </c>
      <c r="C487" s="30">
        <v>17</v>
      </c>
      <c r="D487" s="30">
        <v>43</v>
      </c>
      <c r="E487" s="30">
        <v>54</v>
      </c>
      <c r="F487" s="35">
        <v>74</v>
      </c>
    </row>
    <row r="488" spans="2:6" ht="37.5" customHeight="1" thickBot="1" x14ac:dyDescent="0.3">
      <c r="B488" s="36" t="s">
        <v>10</v>
      </c>
      <c r="C488" s="37">
        <v>61</v>
      </c>
      <c r="D488" s="37"/>
      <c r="E488" s="142" t="s">
        <v>144</v>
      </c>
      <c r="F488" s="143"/>
    </row>
    <row r="489" spans="2:6" ht="15.75" thickBot="1" x14ac:dyDescent="0.3">
      <c r="B489" s="38"/>
      <c r="C489" s="38"/>
      <c r="D489" s="38"/>
      <c r="E489" s="38"/>
      <c r="F489" s="38"/>
    </row>
    <row r="490" spans="2:6" ht="37.5" customHeight="1" thickBot="1" x14ac:dyDescent="0.3">
      <c r="B490" s="23" t="s">
        <v>0</v>
      </c>
      <c r="C490" s="24" t="s">
        <v>1</v>
      </c>
      <c r="D490" s="24" t="s">
        <v>2</v>
      </c>
      <c r="E490" s="24" t="s">
        <v>3</v>
      </c>
      <c r="F490" s="25" t="s">
        <v>4</v>
      </c>
    </row>
    <row r="491" spans="2:6" ht="37.5" customHeight="1" x14ac:dyDescent="0.25">
      <c r="B491" s="26">
        <v>8</v>
      </c>
      <c r="C491" s="27">
        <v>30</v>
      </c>
      <c r="D491" s="27">
        <v>41</v>
      </c>
      <c r="E491" s="27">
        <v>57</v>
      </c>
      <c r="F491" s="22">
        <v>74</v>
      </c>
    </row>
    <row r="492" spans="2:6" ht="37.5" customHeight="1" thickBot="1" x14ac:dyDescent="0.3">
      <c r="B492" s="28">
        <v>6</v>
      </c>
      <c r="C492" s="29">
        <v>18</v>
      </c>
      <c r="D492" s="30">
        <v>39</v>
      </c>
      <c r="E492" s="29">
        <v>56</v>
      </c>
      <c r="F492" s="31">
        <v>65</v>
      </c>
    </row>
    <row r="493" spans="2:6" ht="37.5" customHeight="1" thickBot="1" x14ac:dyDescent="0.3">
      <c r="B493" s="28">
        <v>13</v>
      </c>
      <c r="C493" s="32">
        <v>29</v>
      </c>
      <c r="D493" s="18" t="s">
        <v>48</v>
      </c>
      <c r="E493" s="33">
        <v>53</v>
      </c>
      <c r="F493" s="31">
        <v>67</v>
      </c>
    </row>
    <row r="494" spans="2:6" ht="37.5" customHeight="1" x14ac:dyDescent="0.25">
      <c r="B494" s="28">
        <v>14</v>
      </c>
      <c r="C494" s="29">
        <v>21</v>
      </c>
      <c r="D494" s="27">
        <v>36</v>
      </c>
      <c r="E494" s="29">
        <v>46</v>
      </c>
      <c r="F494" s="31">
        <v>68</v>
      </c>
    </row>
    <row r="495" spans="2:6" ht="37.5" customHeight="1" thickBot="1" x14ac:dyDescent="0.3">
      <c r="B495" s="34">
        <v>10</v>
      </c>
      <c r="C495" s="30">
        <v>22</v>
      </c>
      <c r="D495" s="30">
        <v>38</v>
      </c>
      <c r="E495" s="30">
        <v>55</v>
      </c>
      <c r="F495" s="35">
        <v>63</v>
      </c>
    </row>
    <row r="496" spans="2:6" ht="37.5" customHeight="1" thickBot="1" x14ac:dyDescent="0.3">
      <c r="B496" s="36" t="s">
        <v>10</v>
      </c>
      <c r="C496" s="37">
        <v>62</v>
      </c>
      <c r="D496" s="37"/>
      <c r="E496" s="142" t="s">
        <v>144</v>
      </c>
      <c r="F496" s="143"/>
    </row>
    <row r="497" spans="2:6" ht="15.75" thickBot="1" x14ac:dyDescent="0.3">
      <c r="B497" s="38"/>
      <c r="C497" s="38"/>
      <c r="D497" s="38"/>
      <c r="E497" s="38"/>
      <c r="F497" s="38"/>
    </row>
    <row r="498" spans="2:6" ht="37.5" customHeight="1" thickBot="1" x14ac:dyDescent="0.3">
      <c r="B498" s="23" t="s">
        <v>0</v>
      </c>
      <c r="C498" s="24" t="s">
        <v>1</v>
      </c>
      <c r="D498" s="24" t="s">
        <v>2</v>
      </c>
      <c r="E498" s="24" t="s">
        <v>3</v>
      </c>
      <c r="F498" s="25" t="s">
        <v>4</v>
      </c>
    </row>
    <row r="499" spans="2:6" ht="37.5" customHeight="1" x14ac:dyDescent="0.25">
      <c r="B499" s="26">
        <v>9</v>
      </c>
      <c r="C499" s="27">
        <v>24</v>
      </c>
      <c r="D499" s="27">
        <v>35</v>
      </c>
      <c r="E499" s="27">
        <v>49</v>
      </c>
      <c r="F499" s="22">
        <v>64</v>
      </c>
    </row>
    <row r="500" spans="2:6" ht="37.5" customHeight="1" thickBot="1" x14ac:dyDescent="0.3">
      <c r="B500" s="28">
        <v>4</v>
      </c>
      <c r="C500" s="29">
        <v>22</v>
      </c>
      <c r="D500" s="30">
        <v>40</v>
      </c>
      <c r="E500" s="29">
        <v>47</v>
      </c>
      <c r="F500" s="31">
        <v>66</v>
      </c>
    </row>
    <row r="501" spans="2:6" ht="37.5" customHeight="1" thickBot="1" x14ac:dyDescent="0.3">
      <c r="B501" s="28">
        <v>8</v>
      </c>
      <c r="C501" s="32">
        <v>23</v>
      </c>
      <c r="D501" s="18" t="s">
        <v>48</v>
      </c>
      <c r="E501" s="33">
        <v>58</v>
      </c>
      <c r="F501" s="31">
        <v>74</v>
      </c>
    </row>
    <row r="502" spans="2:6" ht="37.5" customHeight="1" x14ac:dyDescent="0.25">
      <c r="B502" s="28">
        <v>12</v>
      </c>
      <c r="C502" s="29">
        <v>19</v>
      </c>
      <c r="D502" s="27">
        <v>43</v>
      </c>
      <c r="E502" s="29">
        <v>51</v>
      </c>
      <c r="F502" s="31">
        <v>65</v>
      </c>
    </row>
    <row r="503" spans="2:6" ht="37.5" customHeight="1" thickBot="1" x14ac:dyDescent="0.3">
      <c r="B503" s="34">
        <v>1</v>
      </c>
      <c r="C503" s="30">
        <v>25</v>
      </c>
      <c r="D503" s="30">
        <v>36</v>
      </c>
      <c r="E503" s="30">
        <v>54</v>
      </c>
      <c r="F503" s="35">
        <v>62</v>
      </c>
    </row>
    <row r="504" spans="2:6" ht="37.5" customHeight="1" thickBot="1" x14ac:dyDescent="0.3">
      <c r="B504" s="36" t="s">
        <v>10</v>
      </c>
      <c r="C504" s="37">
        <v>63</v>
      </c>
      <c r="D504" s="37"/>
      <c r="E504" s="142" t="s">
        <v>144</v>
      </c>
      <c r="F504" s="143"/>
    </row>
    <row r="505" spans="2:6" ht="15.75" thickBot="1" x14ac:dyDescent="0.3">
      <c r="B505" s="38"/>
      <c r="C505" s="38"/>
      <c r="D505" s="38"/>
      <c r="E505" s="38"/>
      <c r="F505" s="38"/>
    </row>
    <row r="506" spans="2:6" ht="37.5" customHeight="1" thickBot="1" x14ac:dyDescent="0.3">
      <c r="B506" s="23" t="s">
        <v>0</v>
      </c>
      <c r="C506" s="24" t="s">
        <v>1</v>
      </c>
      <c r="D506" s="24" t="s">
        <v>2</v>
      </c>
      <c r="E506" s="24" t="s">
        <v>3</v>
      </c>
      <c r="F506" s="25" t="s">
        <v>4</v>
      </c>
    </row>
    <row r="507" spans="2:6" ht="37.5" customHeight="1" x14ac:dyDescent="0.25">
      <c r="B507" s="26">
        <v>5</v>
      </c>
      <c r="C507" s="27">
        <v>19</v>
      </c>
      <c r="D507" s="27">
        <v>41</v>
      </c>
      <c r="E507" s="27">
        <v>53</v>
      </c>
      <c r="F507" s="22">
        <v>71</v>
      </c>
    </row>
    <row r="508" spans="2:6" ht="37.5" customHeight="1" thickBot="1" x14ac:dyDescent="0.3">
      <c r="B508" s="28">
        <v>15</v>
      </c>
      <c r="C508" s="29">
        <v>25</v>
      </c>
      <c r="D508" s="30">
        <v>33</v>
      </c>
      <c r="E508" s="29">
        <v>55</v>
      </c>
      <c r="F508" s="31">
        <v>75</v>
      </c>
    </row>
    <row r="509" spans="2:6" ht="37.5" customHeight="1" thickBot="1" x14ac:dyDescent="0.3">
      <c r="B509" s="28">
        <v>1</v>
      </c>
      <c r="C509" s="32">
        <v>18</v>
      </c>
      <c r="D509" s="18" t="s">
        <v>48</v>
      </c>
      <c r="E509" s="33">
        <v>56</v>
      </c>
      <c r="F509" s="31">
        <v>68</v>
      </c>
    </row>
    <row r="510" spans="2:6" ht="37.5" customHeight="1" x14ac:dyDescent="0.25">
      <c r="B510" s="28">
        <v>14</v>
      </c>
      <c r="C510" s="29">
        <v>23</v>
      </c>
      <c r="D510" s="27">
        <v>31</v>
      </c>
      <c r="E510" s="29">
        <v>52</v>
      </c>
      <c r="F510" s="31">
        <v>63</v>
      </c>
    </row>
    <row r="511" spans="2:6" ht="37.5" customHeight="1" thickBot="1" x14ac:dyDescent="0.3">
      <c r="B511" s="34">
        <v>3</v>
      </c>
      <c r="C511" s="30">
        <v>17</v>
      </c>
      <c r="D511" s="30">
        <v>34</v>
      </c>
      <c r="E511" s="30">
        <v>50</v>
      </c>
      <c r="F511" s="35">
        <v>72</v>
      </c>
    </row>
    <row r="512" spans="2:6" ht="37.5" customHeight="1" thickBot="1" x14ac:dyDescent="0.3">
      <c r="B512" s="36" t="s">
        <v>10</v>
      </c>
      <c r="C512" s="37">
        <v>64</v>
      </c>
      <c r="D512" s="37"/>
      <c r="E512" s="142" t="s">
        <v>144</v>
      </c>
      <c r="F512" s="143"/>
    </row>
    <row r="513" spans="2:6" ht="15.75" thickBot="1" x14ac:dyDescent="0.3">
      <c r="B513" s="38"/>
      <c r="C513" s="38"/>
      <c r="D513" s="38"/>
      <c r="E513" s="38"/>
      <c r="F513" s="38"/>
    </row>
    <row r="514" spans="2:6" ht="37.5" customHeight="1" thickBot="1" x14ac:dyDescent="0.3">
      <c r="B514" s="23" t="s">
        <v>0</v>
      </c>
      <c r="C514" s="24" t="s">
        <v>1</v>
      </c>
      <c r="D514" s="24" t="s">
        <v>2</v>
      </c>
      <c r="E514" s="24" t="s">
        <v>3</v>
      </c>
      <c r="F514" s="25" t="s">
        <v>4</v>
      </c>
    </row>
    <row r="515" spans="2:6" ht="37.5" customHeight="1" x14ac:dyDescent="0.25">
      <c r="B515" s="26">
        <v>3</v>
      </c>
      <c r="C515" s="27">
        <v>17</v>
      </c>
      <c r="D515" s="27">
        <v>41</v>
      </c>
      <c r="E515" s="27">
        <v>49</v>
      </c>
      <c r="F515" s="22">
        <v>62</v>
      </c>
    </row>
    <row r="516" spans="2:6" ht="37.5" customHeight="1" thickBot="1" x14ac:dyDescent="0.3">
      <c r="B516" s="28">
        <v>10</v>
      </c>
      <c r="C516" s="29">
        <v>26</v>
      </c>
      <c r="D516" s="30">
        <v>40</v>
      </c>
      <c r="E516" s="29">
        <v>59</v>
      </c>
      <c r="F516" s="31">
        <v>64</v>
      </c>
    </row>
    <row r="517" spans="2:6" ht="37.5" customHeight="1" thickBot="1" x14ac:dyDescent="0.3">
      <c r="B517" s="28">
        <v>4</v>
      </c>
      <c r="C517" s="32">
        <v>28</v>
      </c>
      <c r="D517" s="18" t="s">
        <v>48</v>
      </c>
      <c r="E517" s="33">
        <v>58</v>
      </c>
      <c r="F517" s="31">
        <v>69</v>
      </c>
    </row>
    <row r="518" spans="2:6" ht="37.5" customHeight="1" x14ac:dyDescent="0.25">
      <c r="B518" s="28">
        <v>13</v>
      </c>
      <c r="C518" s="29">
        <v>21</v>
      </c>
      <c r="D518" s="27">
        <v>44</v>
      </c>
      <c r="E518" s="29">
        <v>48</v>
      </c>
      <c r="F518" s="31">
        <v>68</v>
      </c>
    </row>
    <row r="519" spans="2:6" ht="37.5" customHeight="1" thickBot="1" x14ac:dyDescent="0.3">
      <c r="B519" s="34">
        <v>8</v>
      </c>
      <c r="C519" s="30">
        <v>18</v>
      </c>
      <c r="D519" s="30">
        <v>43</v>
      </c>
      <c r="E519" s="30">
        <v>47</v>
      </c>
      <c r="F519" s="35">
        <v>65</v>
      </c>
    </row>
    <row r="520" spans="2:6" ht="37.5" customHeight="1" thickBot="1" x14ac:dyDescent="0.3">
      <c r="B520" s="36" t="s">
        <v>10</v>
      </c>
      <c r="C520" s="37">
        <v>65</v>
      </c>
      <c r="D520" s="37"/>
      <c r="E520" s="142" t="s">
        <v>144</v>
      </c>
      <c r="F520" s="143"/>
    </row>
    <row r="521" spans="2:6" ht="15.75" thickBot="1" x14ac:dyDescent="0.3">
      <c r="B521" s="38"/>
      <c r="C521" s="38"/>
      <c r="D521" s="38"/>
      <c r="E521" s="38"/>
      <c r="F521" s="38"/>
    </row>
    <row r="522" spans="2:6" ht="37.5" customHeight="1" thickBot="1" x14ac:dyDescent="0.3">
      <c r="B522" s="23" t="s">
        <v>0</v>
      </c>
      <c r="C522" s="24" t="s">
        <v>1</v>
      </c>
      <c r="D522" s="24" t="s">
        <v>2</v>
      </c>
      <c r="E522" s="24" t="s">
        <v>3</v>
      </c>
      <c r="F522" s="25" t="s">
        <v>4</v>
      </c>
    </row>
    <row r="523" spans="2:6" ht="37.5" customHeight="1" x14ac:dyDescent="0.25">
      <c r="B523" s="26">
        <v>10</v>
      </c>
      <c r="C523" s="27">
        <v>24</v>
      </c>
      <c r="D523" s="27">
        <v>35</v>
      </c>
      <c r="E523" s="27">
        <v>47</v>
      </c>
      <c r="F523" s="22">
        <v>71</v>
      </c>
    </row>
    <row r="524" spans="2:6" ht="37.5" customHeight="1" thickBot="1" x14ac:dyDescent="0.3">
      <c r="B524" s="28">
        <v>1</v>
      </c>
      <c r="C524" s="29">
        <v>29</v>
      </c>
      <c r="D524" s="30">
        <v>37</v>
      </c>
      <c r="E524" s="29">
        <v>49</v>
      </c>
      <c r="F524" s="31">
        <v>69</v>
      </c>
    </row>
    <row r="525" spans="2:6" ht="37.5" customHeight="1" thickBot="1" x14ac:dyDescent="0.3">
      <c r="B525" s="28">
        <v>7</v>
      </c>
      <c r="C525" s="32">
        <v>23</v>
      </c>
      <c r="D525" s="18" t="s">
        <v>48</v>
      </c>
      <c r="E525" s="33">
        <v>58</v>
      </c>
      <c r="F525" s="31">
        <v>74</v>
      </c>
    </row>
    <row r="526" spans="2:6" ht="37.5" customHeight="1" x14ac:dyDescent="0.25">
      <c r="B526" s="28">
        <v>2</v>
      </c>
      <c r="C526" s="29">
        <v>19</v>
      </c>
      <c r="D526" s="27">
        <v>44</v>
      </c>
      <c r="E526" s="29">
        <v>46</v>
      </c>
      <c r="F526" s="31">
        <v>72</v>
      </c>
    </row>
    <row r="527" spans="2:6" ht="37.5" customHeight="1" thickBot="1" x14ac:dyDescent="0.3">
      <c r="B527" s="34">
        <v>9</v>
      </c>
      <c r="C527" s="30">
        <v>30</v>
      </c>
      <c r="D527" s="30">
        <v>42</v>
      </c>
      <c r="E527" s="30">
        <v>51</v>
      </c>
      <c r="F527" s="35">
        <v>70</v>
      </c>
    </row>
    <row r="528" spans="2:6" ht="37.5" customHeight="1" thickBot="1" x14ac:dyDescent="0.3">
      <c r="B528" s="36" t="s">
        <v>10</v>
      </c>
      <c r="C528" s="37">
        <v>66</v>
      </c>
      <c r="D528" s="37"/>
      <c r="E528" s="142" t="s">
        <v>144</v>
      </c>
      <c r="F528" s="143"/>
    </row>
    <row r="529" spans="2:6" ht="15.75" thickBot="1" x14ac:dyDescent="0.3">
      <c r="B529" s="38"/>
      <c r="C529" s="38"/>
      <c r="D529" s="38"/>
      <c r="E529" s="38"/>
      <c r="F529" s="38"/>
    </row>
    <row r="530" spans="2:6" ht="37.5" customHeight="1" thickBot="1" x14ac:dyDescent="0.3">
      <c r="B530" s="23" t="s">
        <v>0</v>
      </c>
      <c r="C530" s="24" t="s">
        <v>1</v>
      </c>
      <c r="D530" s="24" t="s">
        <v>2</v>
      </c>
      <c r="E530" s="24" t="s">
        <v>3</v>
      </c>
      <c r="F530" s="25" t="s">
        <v>4</v>
      </c>
    </row>
    <row r="531" spans="2:6" ht="37.5" customHeight="1" x14ac:dyDescent="0.25">
      <c r="B531" s="26">
        <v>12</v>
      </c>
      <c r="C531" s="27">
        <v>21</v>
      </c>
      <c r="D531" s="27">
        <v>43</v>
      </c>
      <c r="E531" s="27">
        <v>57</v>
      </c>
      <c r="F531" s="22">
        <v>64</v>
      </c>
    </row>
    <row r="532" spans="2:6" ht="37.5" customHeight="1" thickBot="1" x14ac:dyDescent="0.3">
      <c r="B532" s="28">
        <v>15</v>
      </c>
      <c r="C532" s="29">
        <v>17</v>
      </c>
      <c r="D532" s="30">
        <v>34</v>
      </c>
      <c r="E532" s="29">
        <v>60</v>
      </c>
      <c r="F532" s="31">
        <v>71</v>
      </c>
    </row>
    <row r="533" spans="2:6" ht="37.5" customHeight="1" thickBot="1" x14ac:dyDescent="0.3">
      <c r="B533" s="28">
        <v>5</v>
      </c>
      <c r="C533" s="32">
        <v>23</v>
      </c>
      <c r="D533" s="18" t="s">
        <v>48</v>
      </c>
      <c r="E533" s="33">
        <v>55</v>
      </c>
      <c r="F533" s="31">
        <v>72</v>
      </c>
    </row>
    <row r="534" spans="2:6" ht="37.5" customHeight="1" x14ac:dyDescent="0.25">
      <c r="B534" s="28">
        <v>9</v>
      </c>
      <c r="C534" s="29">
        <v>20</v>
      </c>
      <c r="D534" s="27">
        <v>32</v>
      </c>
      <c r="E534" s="29">
        <v>53</v>
      </c>
      <c r="F534" s="31">
        <v>63</v>
      </c>
    </row>
    <row r="535" spans="2:6" ht="37.5" customHeight="1" thickBot="1" x14ac:dyDescent="0.3">
      <c r="B535" s="34">
        <v>11</v>
      </c>
      <c r="C535" s="30">
        <v>29</v>
      </c>
      <c r="D535" s="30">
        <v>36</v>
      </c>
      <c r="E535" s="30">
        <v>50</v>
      </c>
      <c r="F535" s="35">
        <v>65</v>
      </c>
    </row>
    <row r="536" spans="2:6" ht="37.5" customHeight="1" thickBot="1" x14ac:dyDescent="0.3">
      <c r="B536" s="36" t="s">
        <v>10</v>
      </c>
      <c r="C536" s="37">
        <v>67</v>
      </c>
      <c r="D536" s="37"/>
      <c r="E536" s="142" t="s">
        <v>144</v>
      </c>
      <c r="F536" s="143"/>
    </row>
    <row r="537" spans="2:6" ht="15.75" thickBot="1" x14ac:dyDescent="0.3">
      <c r="B537" s="38"/>
      <c r="C537" s="38"/>
      <c r="D537" s="38"/>
      <c r="E537" s="38"/>
      <c r="F537" s="38"/>
    </row>
    <row r="538" spans="2:6" ht="37.5" customHeight="1" thickBot="1" x14ac:dyDescent="0.3">
      <c r="B538" s="23" t="s">
        <v>0</v>
      </c>
      <c r="C538" s="24" t="s">
        <v>1</v>
      </c>
      <c r="D538" s="24" t="s">
        <v>2</v>
      </c>
      <c r="E538" s="24" t="s">
        <v>3</v>
      </c>
      <c r="F538" s="25" t="s">
        <v>4</v>
      </c>
    </row>
    <row r="539" spans="2:6" ht="37.5" customHeight="1" x14ac:dyDescent="0.25">
      <c r="B539" s="26">
        <v>8</v>
      </c>
      <c r="C539" s="27">
        <v>28</v>
      </c>
      <c r="D539" s="27">
        <v>36</v>
      </c>
      <c r="E539" s="27">
        <v>57</v>
      </c>
      <c r="F539" s="22">
        <v>71</v>
      </c>
    </row>
    <row r="540" spans="2:6" ht="37.5" customHeight="1" thickBot="1" x14ac:dyDescent="0.3">
      <c r="B540" s="28">
        <v>5</v>
      </c>
      <c r="C540" s="29">
        <v>20</v>
      </c>
      <c r="D540" s="30">
        <v>40</v>
      </c>
      <c r="E540" s="29">
        <v>46</v>
      </c>
      <c r="F540" s="31">
        <v>67</v>
      </c>
    </row>
    <row r="541" spans="2:6" ht="37.5" customHeight="1" thickBot="1" x14ac:dyDescent="0.3">
      <c r="B541" s="28">
        <v>14</v>
      </c>
      <c r="C541" s="32">
        <v>21</v>
      </c>
      <c r="D541" s="18" t="s">
        <v>48</v>
      </c>
      <c r="E541" s="33">
        <v>51</v>
      </c>
      <c r="F541" s="31">
        <v>72</v>
      </c>
    </row>
    <row r="542" spans="2:6" ht="37.5" customHeight="1" x14ac:dyDescent="0.25">
      <c r="B542" s="28">
        <v>11</v>
      </c>
      <c r="C542" s="29">
        <v>26</v>
      </c>
      <c r="D542" s="27">
        <v>32</v>
      </c>
      <c r="E542" s="29">
        <v>56</v>
      </c>
      <c r="F542" s="31">
        <v>69</v>
      </c>
    </row>
    <row r="543" spans="2:6" ht="37.5" customHeight="1" thickBot="1" x14ac:dyDescent="0.3">
      <c r="B543" s="34">
        <v>10</v>
      </c>
      <c r="C543" s="30">
        <v>23</v>
      </c>
      <c r="D543" s="30">
        <v>34</v>
      </c>
      <c r="E543" s="30">
        <v>53</v>
      </c>
      <c r="F543" s="35">
        <v>66</v>
      </c>
    </row>
    <row r="544" spans="2:6" ht="37.5" customHeight="1" thickBot="1" x14ac:dyDescent="0.3">
      <c r="B544" s="36" t="s">
        <v>10</v>
      </c>
      <c r="C544" s="37">
        <v>68</v>
      </c>
      <c r="D544" s="37"/>
      <c r="E544" s="142" t="s">
        <v>144</v>
      </c>
      <c r="F544" s="143"/>
    </row>
    <row r="545" spans="2:6" ht="15.75" thickBot="1" x14ac:dyDescent="0.3">
      <c r="B545" s="38"/>
      <c r="C545" s="38"/>
      <c r="D545" s="38"/>
      <c r="E545" s="38"/>
      <c r="F545" s="38"/>
    </row>
    <row r="546" spans="2:6" ht="37.5" customHeight="1" thickBot="1" x14ac:dyDescent="0.3">
      <c r="B546" s="23" t="s">
        <v>0</v>
      </c>
      <c r="C546" s="24" t="s">
        <v>1</v>
      </c>
      <c r="D546" s="24" t="s">
        <v>2</v>
      </c>
      <c r="E546" s="24" t="s">
        <v>3</v>
      </c>
      <c r="F546" s="25" t="s">
        <v>4</v>
      </c>
    </row>
    <row r="547" spans="2:6" ht="37.5" customHeight="1" x14ac:dyDescent="0.25">
      <c r="B547" s="26">
        <v>2</v>
      </c>
      <c r="C547" s="27">
        <v>25</v>
      </c>
      <c r="D547" s="27">
        <v>41</v>
      </c>
      <c r="E547" s="27">
        <v>56</v>
      </c>
      <c r="F547" s="22">
        <v>72</v>
      </c>
    </row>
    <row r="548" spans="2:6" ht="37.5" customHeight="1" thickBot="1" x14ac:dyDescent="0.3">
      <c r="B548" s="28">
        <v>9</v>
      </c>
      <c r="C548" s="29">
        <v>23</v>
      </c>
      <c r="D548" s="30">
        <v>43</v>
      </c>
      <c r="E548" s="29">
        <v>59</v>
      </c>
      <c r="F548" s="31">
        <v>64</v>
      </c>
    </row>
    <row r="549" spans="2:6" ht="37.5" customHeight="1" thickBot="1" x14ac:dyDescent="0.3">
      <c r="B549" s="28">
        <v>7</v>
      </c>
      <c r="C549" s="32">
        <v>26</v>
      </c>
      <c r="D549" s="18" t="s">
        <v>48</v>
      </c>
      <c r="E549" s="33">
        <v>60</v>
      </c>
      <c r="F549" s="31">
        <v>70</v>
      </c>
    </row>
    <row r="550" spans="2:6" ht="37.5" customHeight="1" x14ac:dyDescent="0.25">
      <c r="B550" s="28">
        <v>6</v>
      </c>
      <c r="C550" s="29">
        <v>16</v>
      </c>
      <c r="D550" s="27">
        <v>40</v>
      </c>
      <c r="E550" s="29">
        <v>55</v>
      </c>
      <c r="F550" s="31">
        <v>68</v>
      </c>
    </row>
    <row r="551" spans="2:6" ht="37.5" customHeight="1" thickBot="1" x14ac:dyDescent="0.3">
      <c r="B551" s="34">
        <v>10</v>
      </c>
      <c r="C551" s="30">
        <v>20</v>
      </c>
      <c r="D551" s="30">
        <v>31</v>
      </c>
      <c r="E551" s="30">
        <v>54</v>
      </c>
      <c r="F551" s="35">
        <v>66</v>
      </c>
    </row>
    <row r="552" spans="2:6" ht="37.5" customHeight="1" thickBot="1" x14ac:dyDescent="0.3">
      <c r="B552" s="36" t="s">
        <v>10</v>
      </c>
      <c r="C552" s="37">
        <v>69</v>
      </c>
      <c r="D552" s="37"/>
      <c r="E552" s="142" t="s">
        <v>144</v>
      </c>
      <c r="F552" s="143"/>
    </row>
    <row r="553" spans="2:6" ht="15.75" thickBot="1" x14ac:dyDescent="0.3">
      <c r="B553" s="38"/>
      <c r="C553" s="38"/>
      <c r="D553" s="38"/>
      <c r="E553" s="38"/>
      <c r="F553" s="38"/>
    </row>
    <row r="554" spans="2:6" ht="37.5" customHeight="1" thickBot="1" x14ac:dyDescent="0.3">
      <c r="B554" s="23" t="s">
        <v>0</v>
      </c>
      <c r="C554" s="24" t="s">
        <v>1</v>
      </c>
      <c r="D554" s="24" t="s">
        <v>2</v>
      </c>
      <c r="E554" s="24" t="s">
        <v>3</v>
      </c>
      <c r="F554" s="25" t="s">
        <v>4</v>
      </c>
    </row>
    <row r="555" spans="2:6" ht="37.5" customHeight="1" x14ac:dyDescent="0.25">
      <c r="B555" s="26">
        <v>6</v>
      </c>
      <c r="C555" s="27">
        <v>25</v>
      </c>
      <c r="D555" s="27">
        <v>38</v>
      </c>
      <c r="E555" s="27">
        <v>48</v>
      </c>
      <c r="F555" s="22">
        <v>66</v>
      </c>
    </row>
    <row r="556" spans="2:6" ht="37.5" customHeight="1" thickBot="1" x14ac:dyDescent="0.3">
      <c r="B556" s="28">
        <v>5</v>
      </c>
      <c r="C556" s="29">
        <v>27</v>
      </c>
      <c r="D556" s="30">
        <v>43</v>
      </c>
      <c r="E556" s="29">
        <v>47</v>
      </c>
      <c r="F556" s="31">
        <v>70</v>
      </c>
    </row>
    <row r="557" spans="2:6" ht="37.5" customHeight="1" thickBot="1" x14ac:dyDescent="0.3">
      <c r="B557" s="28">
        <v>7</v>
      </c>
      <c r="C557" s="32">
        <v>22</v>
      </c>
      <c r="D557" s="18" t="s">
        <v>48</v>
      </c>
      <c r="E557" s="33">
        <v>56</v>
      </c>
      <c r="F557" s="31">
        <v>73</v>
      </c>
    </row>
    <row r="558" spans="2:6" ht="37.5" customHeight="1" x14ac:dyDescent="0.25">
      <c r="B558" s="28">
        <v>13</v>
      </c>
      <c r="C558" s="29">
        <v>16</v>
      </c>
      <c r="D558" s="27">
        <v>44</v>
      </c>
      <c r="E558" s="29">
        <v>49</v>
      </c>
      <c r="F558" s="31">
        <v>69</v>
      </c>
    </row>
    <row r="559" spans="2:6" ht="37.5" customHeight="1" thickBot="1" x14ac:dyDescent="0.3">
      <c r="B559" s="34">
        <v>2</v>
      </c>
      <c r="C559" s="30">
        <v>24</v>
      </c>
      <c r="D559" s="30">
        <v>36</v>
      </c>
      <c r="E559" s="30">
        <v>52</v>
      </c>
      <c r="F559" s="35">
        <v>75</v>
      </c>
    </row>
    <row r="560" spans="2:6" ht="37.5" customHeight="1" thickBot="1" x14ac:dyDescent="0.3">
      <c r="B560" s="36" t="s">
        <v>10</v>
      </c>
      <c r="C560" s="37">
        <v>70</v>
      </c>
      <c r="D560" s="37"/>
      <c r="E560" s="142" t="s">
        <v>144</v>
      </c>
      <c r="F560" s="143"/>
    </row>
    <row r="561" spans="2:6" ht="15.75" thickBot="1" x14ac:dyDescent="0.3">
      <c r="B561" s="38"/>
      <c r="C561" s="38"/>
      <c r="D561" s="38"/>
      <c r="E561" s="38"/>
      <c r="F561" s="38"/>
    </row>
    <row r="562" spans="2:6" ht="37.5" customHeight="1" thickBot="1" x14ac:dyDescent="0.3">
      <c r="B562" s="23" t="s">
        <v>0</v>
      </c>
      <c r="C562" s="24" t="s">
        <v>1</v>
      </c>
      <c r="D562" s="24" t="s">
        <v>2</v>
      </c>
      <c r="E562" s="24" t="s">
        <v>3</v>
      </c>
      <c r="F562" s="25" t="s">
        <v>4</v>
      </c>
    </row>
    <row r="563" spans="2:6" ht="37.5" customHeight="1" x14ac:dyDescent="0.25">
      <c r="B563" s="26">
        <v>15</v>
      </c>
      <c r="C563" s="27">
        <v>28</v>
      </c>
      <c r="D563" s="27">
        <v>43</v>
      </c>
      <c r="E563" s="27">
        <v>47</v>
      </c>
      <c r="F563" s="22">
        <v>69</v>
      </c>
    </row>
    <row r="564" spans="2:6" ht="37.5" customHeight="1" thickBot="1" x14ac:dyDescent="0.3">
      <c r="B564" s="28">
        <v>9</v>
      </c>
      <c r="C564" s="29">
        <v>21</v>
      </c>
      <c r="D564" s="30">
        <v>37</v>
      </c>
      <c r="E564" s="29">
        <v>49</v>
      </c>
      <c r="F564" s="31">
        <v>73</v>
      </c>
    </row>
    <row r="565" spans="2:6" ht="37.5" customHeight="1" thickBot="1" x14ac:dyDescent="0.3">
      <c r="B565" s="28">
        <v>7</v>
      </c>
      <c r="C565" s="32">
        <v>24</v>
      </c>
      <c r="D565" s="18" t="s">
        <v>48</v>
      </c>
      <c r="E565" s="33">
        <v>46</v>
      </c>
      <c r="F565" s="31">
        <v>61</v>
      </c>
    </row>
    <row r="566" spans="2:6" ht="37.5" customHeight="1" x14ac:dyDescent="0.25">
      <c r="B566" s="28">
        <v>10</v>
      </c>
      <c r="C566" s="29">
        <v>16</v>
      </c>
      <c r="D566" s="27">
        <v>42</v>
      </c>
      <c r="E566" s="29">
        <v>50</v>
      </c>
      <c r="F566" s="31">
        <v>71</v>
      </c>
    </row>
    <row r="567" spans="2:6" ht="37.5" customHeight="1" thickBot="1" x14ac:dyDescent="0.3">
      <c r="B567" s="34">
        <v>4</v>
      </c>
      <c r="C567" s="30">
        <v>18</v>
      </c>
      <c r="D567" s="30">
        <v>38</v>
      </c>
      <c r="E567" s="30">
        <v>51</v>
      </c>
      <c r="F567" s="35">
        <v>64</v>
      </c>
    </row>
    <row r="568" spans="2:6" ht="37.5" customHeight="1" thickBot="1" x14ac:dyDescent="0.3">
      <c r="B568" s="36" t="s">
        <v>10</v>
      </c>
      <c r="C568" s="37">
        <v>71</v>
      </c>
      <c r="D568" s="37"/>
      <c r="E568" s="142" t="s">
        <v>144</v>
      </c>
      <c r="F568" s="143"/>
    </row>
    <row r="569" spans="2:6" ht="15.75" thickBot="1" x14ac:dyDescent="0.3">
      <c r="B569" s="38"/>
      <c r="C569" s="38"/>
      <c r="D569" s="38"/>
      <c r="E569" s="38"/>
      <c r="F569" s="38"/>
    </row>
    <row r="570" spans="2:6" ht="37.5" customHeight="1" thickBot="1" x14ac:dyDescent="0.3">
      <c r="B570" s="23" t="s">
        <v>0</v>
      </c>
      <c r="C570" s="24" t="s">
        <v>1</v>
      </c>
      <c r="D570" s="24" t="s">
        <v>2</v>
      </c>
      <c r="E570" s="24" t="s">
        <v>3</v>
      </c>
      <c r="F570" s="25" t="s">
        <v>4</v>
      </c>
    </row>
    <row r="571" spans="2:6" ht="37.5" customHeight="1" x14ac:dyDescent="0.25">
      <c r="B571" s="26">
        <v>8</v>
      </c>
      <c r="C571" s="27">
        <v>19</v>
      </c>
      <c r="D571" s="27">
        <v>37</v>
      </c>
      <c r="E571" s="27">
        <v>46</v>
      </c>
      <c r="F571" s="22">
        <v>71</v>
      </c>
    </row>
    <row r="572" spans="2:6" ht="37.5" customHeight="1" thickBot="1" x14ac:dyDescent="0.3">
      <c r="B572" s="28">
        <v>12</v>
      </c>
      <c r="C572" s="29">
        <v>21</v>
      </c>
      <c r="D572" s="30">
        <v>35</v>
      </c>
      <c r="E572" s="29">
        <v>57</v>
      </c>
      <c r="F572" s="31">
        <v>75</v>
      </c>
    </row>
    <row r="573" spans="2:6" ht="37.5" customHeight="1" thickBot="1" x14ac:dyDescent="0.3">
      <c r="B573" s="28">
        <v>13</v>
      </c>
      <c r="C573" s="32">
        <v>27</v>
      </c>
      <c r="D573" s="18" t="s">
        <v>48</v>
      </c>
      <c r="E573" s="33">
        <v>53</v>
      </c>
      <c r="F573" s="31">
        <v>63</v>
      </c>
    </row>
    <row r="574" spans="2:6" ht="37.5" customHeight="1" x14ac:dyDescent="0.25">
      <c r="B574" s="28">
        <v>14</v>
      </c>
      <c r="C574" s="29">
        <v>28</v>
      </c>
      <c r="D574" s="27">
        <v>33</v>
      </c>
      <c r="E574" s="29">
        <v>58</v>
      </c>
      <c r="F574" s="31">
        <v>65</v>
      </c>
    </row>
    <row r="575" spans="2:6" ht="37.5" customHeight="1" thickBot="1" x14ac:dyDescent="0.3">
      <c r="B575" s="34">
        <v>7</v>
      </c>
      <c r="C575" s="30">
        <v>18</v>
      </c>
      <c r="D575" s="30">
        <v>40</v>
      </c>
      <c r="E575" s="30">
        <v>59</v>
      </c>
      <c r="F575" s="35">
        <v>73</v>
      </c>
    </row>
    <row r="576" spans="2:6" ht="37.5" customHeight="1" thickBot="1" x14ac:dyDescent="0.3">
      <c r="B576" s="36" t="s">
        <v>10</v>
      </c>
      <c r="C576" s="37">
        <v>72</v>
      </c>
      <c r="D576" s="37"/>
      <c r="E576" s="142" t="s">
        <v>144</v>
      </c>
      <c r="F576" s="143"/>
    </row>
    <row r="577" spans="2:6" ht="15.75" thickBot="1" x14ac:dyDescent="0.3">
      <c r="B577" s="38"/>
      <c r="C577" s="38"/>
      <c r="D577" s="38"/>
      <c r="E577" s="38"/>
      <c r="F577" s="38"/>
    </row>
    <row r="578" spans="2:6" ht="37.5" customHeight="1" thickBot="1" x14ac:dyDescent="0.3">
      <c r="B578" s="23" t="s">
        <v>0</v>
      </c>
      <c r="C578" s="24" t="s">
        <v>1</v>
      </c>
      <c r="D578" s="24" t="s">
        <v>2</v>
      </c>
      <c r="E578" s="24" t="s">
        <v>3</v>
      </c>
      <c r="F578" s="25" t="s">
        <v>4</v>
      </c>
    </row>
    <row r="579" spans="2:6" ht="37.5" customHeight="1" x14ac:dyDescent="0.25">
      <c r="B579" s="26">
        <v>15</v>
      </c>
      <c r="C579" s="27">
        <v>16</v>
      </c>
      <c r="D579" s="27">
        <v>32</v>
      </c>
      <c r="E579" s="27">
        <v>49</v>
      </c>
      <c r="F579" s="22">
        <v>72</v>
      </c>
    </row>
    <row r="580" spans="2:6" ht="37.5" customHeight="1" thickBot="1" x14ac:dyDescent="0.3">
      <c r="B580" s="28">
        <v>12</v>
      </c>
      <c r="C580" s="29">
        <v>17</v>
      </c>
      <c r="D580" s="30">
        <v>44</v>
      </c>
      <c r="E580" s="29">
        <v>55</v>
      </c>
      <c r="F580" s="31">
        <v>69</v>
      </c>
    </row>
    <row r="581" spans="2:6" ht="37.5" customHeight="1" thickBot="1" x14ac:dyDescent="0.3">
      <c r="B581" s="28">
        <v>1</v>
      </c>
      <c r="C581" s="32">
        <v>27</v>
      </c>
      <c r="D581" s="18" t="s">
        <v>48</v>
      </c>
      <c r="E581" s="33">
        <v>54</v>
      </c>
      <c r="F581" s="31">
        <v>74</v>
      </c>
    </row>
    <row r="582" spans="2:6" ht="37.5" customHeight="1" x14ac:dyDescent="0.25">
      <c r="B582" s="28">
        <v>6</v>
      </c>
      <c r="C582" s="29">
        <v>26</v>
      </c>
      <c r="D582" s="27">
        <v>41</v>
      </c>
      <c r="E582" s="29">
        <v>46</v>
      </c>
      <c r="F582" s="31">
        <v>73</v>
      </c>
    </row>
    <row r="583" spans="2:6" ht="37.5" customHeight="1" thickBot="1" x14ac:dyDescent="0.3">
      <c r="B583" s="34">
        <v>4</v>
      </c>
      <c r="C583" s="30">
        <v>29</v>
      </c>
      <c r="D583" s="30">
        <v>42</v>
      </c>
      <c r="E583" s="30">
        <v>53</v>
      </c>
      <c r="F583" s="35">
        <v>71</v>
      </c>
    </row>
    <row r="584" spans="2:6" ht="37.5" customHeight="1" thickBot="1" x14ac:dyDescent="0.3">
      <c r="B584" s="36" t="s">
        <v>10</v>
      </c>
      <c r="C584" s="37">
        <v>73</v>
      </c>
      <c r="D584" s="37"/>
      <c r="E584" s="142" t="s">
        <v>144</v>
      </c>
      <c r="F584" s="143"/>
    </row>
    <row r="585" spans="2:6" ht="15.75" thickBot="1" x14ac:dyDescent="0.3">
      <c r="B585" s="38"/>
      <c r="C585" s="38"/>
      <c r="D585" s="38"/>
      <c r="E585" s="38"/>
      <c r="F585" s="38"/>
    </row>
    <row r="586" spans="2:6" ht="37.5" customHeight="1" thickBot="1" x14ac:dyDescent="0.3">
      <c r="B586" s="23" t="s">
        <v>0</v>
      </c>
      <c r="C586" s="24" t="s">
        <v>1</v>
      </c>
      <c r="D586" s="24" t="s">
        <v>2</v>
      </c>
      <c r="E586" s="24" t="s">
        <v>3</v>
      </c>
      <c r="F586" s="25" t="s">
        <v>4</v>
      </c>
    </row>
    <row r="587" spans="2:6" ht="37.5" customHeight="1" x14ac:dyDescent="0.25">
      <c r="B587" s="26">
        <v>9</v>
      </c>
      <c r="C587" s="27">
        <v>27</v>
      </c>
      <c r="D587" s="27">
        <v>43</v>
      </c>
      <c r="E587" s="27">
        <v>50</v>
      </c>
      <c r="F587" s="22">
        <v>72</v>
      </c>
    </row>
    <row r="588" spans="2:6" ht="37.5" customHeight="1" thickBot="1" x14ac:dyDescent="0.3">
      <c r="B588" s="28">
        <v>1</v>
      </c>
      <c r="C588" s="29">
        <v>25</v>
      </c>
      <c r="D588" s="30">
        <v>42</v>
      </c>
      <c r="E588" s="29">
        <v>47</v>
      </c>
      <c r="F588" s="31">
        <v>75</v>
      </c>
    </row>
    <row r="589" spans="2:6" ht="37.5" customHeight="1" thickBot="1" x14ac:dyDescent="0.3">
      <c r="B589" s="28">
        <v>2</v>
      </c>
      <c r="C589" s="32">
        <v>30</v>
      </c>
      <c r="D589" s="18" t="s">
        <v>48</v>
      </c>
      <c r="E589" s="33">
        <v>56</v>
      </c>
      <c r="F589" s="31">
        <v>67</v>
      </c>
    </row>
    <row r="590" spans="2:6" ht="37.5" customHeight="1" x14ac:dyDescent="0.25">
      <c r="B590" s="28">
        <v>10</v>
      </c>
      <c r="C590" s="29">
        <v>21</v>
      </c>
      <c r="D590" s="27">
        <v>39</v>
      </c>
      <c r="E590" s="29">
        <v>58</v>
      </c>
      <c r="F590" s="31">
        <v>70</v>
      </c>
    </row>
    <row r="591" spans="2:6" ht="37.5" customHeight="1" thickBot="1" x14ac:dyDescent="0.3">
      <c r="B591" s="34">
        <v>4</v>
      </c>
      <c r="C591" s="30">
        <v>16</v>
      </c>
      <c r="D591" s="30">
        <v>34</v>
      </c>
      <c r="E591" s="30">
        <v>46</v>
      </c>
      <c r="F591" s="35">
        <v>63</v>
      </c>
    </row>
    <row r="592" spans="2:6" ht="37.5" customHeight="1" thickBot="1" x14ac:dyDescent="0.3">
      <c r="B592" s="36" t="s">
        <v>10</v>
      </c>
      <c r="C592" s="37">
        <v>74</v>
      </c>
      <c r="D592" s="37"/>
      <c r="E592" s="142" t="s">
        <v>144</v>
      </c>
      <c r="F592" s="143"/>
    </row>
    <row r="593" spans="2:6" ht="15.75" thickBot="1" x14ac:dyDescent="0.3">
      <c r="B593" s="38"/>
      <c r="C593" s="38"/>
      <c r="D593" s="38"/>
      <c r="E593" s="38"/>
      <c r="F593" s="38"/>
    </row>
    <row r="594" spans="2:6" ht="37.5" customHeight="1" thickBot="1" x14ac:dyDescent="0.3">
      <c r="B594" s="23" t="s">
        <v>0</v>
      </c>
      <c r="C594" s="24" t="s">
        <v>1</v>
      </c>
      <c r="D594" s="24" t="s">
        <v>2</v>
      </c>
      <c r="E594" s="24" t="s">
        <v>3</v>
      </c>
      <c r="F594" s="25" t="s">
        <v>4</v>
      </c>
    </row>
    <row r="595" spans="2:6" ht="37.5" customHeight="1" x14ac:dyDescent="0.25">
      <c r="B595" s="26">
        <v>3</v>
      </c>
      <c r="C595" s="27">
        <v>23</v>
      </c>
      <c r="D595" s="27">
        <v>37</v>
      </c>
      <c r="E595" s="27">
        <v>56</v>
      </c>
      <c r="F595" s="22">
        <v>68</v>
      </c>
    </row>
    <row r="596" spans="2:6" ht="37.5" customHeight="1" thickBot="1" x14ac:dyDescent="0.3">
      <c r="B596" s="28">
        <v>13</v>
      </c>
      <c r="C596" s="29">
        <v>21</v>
      </c>
      <c r="D596" s="30">
        <v>32</v>
      </c>
      <c r="E596" s="29">
        <v>52</v>
      </c>
      <c r="F596" s="31">
        <v>72</v>
      </c>
    </row>
    <row r="597" spans="2:6" ht="37.5" customHeight="1" thickBot="1" x14ac:dyDescent="0.3">
      <c r="B597" s="28">
        <v>10</v>
      </c>
      <c r="C597" s="32">
        <v>20</v>
      </c>
      <c r="D597" s="18" t="s">
        <v>48</v>
      </c>
      <c r="E597" s="33">
        <v>49</v>
      </c>
      <c r="F597" s="31">
        <v>75</v>
      </c>
    </row>
    <row r="598" spans="2:6" ht="37.5" customHeight="1" x14ac:dyDescent="0.25">
      <c r="B598" s="28">
        <v>8</v>
      </c>
      <c r="C598" s="29">
        <v>27</v>
      </c>
      <c r="D598" s="27">
        <v>36</v>
      </c>
      <c r="E598" s="29">
        <v>55</v>
      </c>
      <c r="F598" s="31">
        <v>62</v>
      </c>
    </row>
    <row r="599" spans="2:6" ht="37.5" customHeight="1" thickBot="1" x14ac:dyDescent="0.3">
      <c r="B599" s="34">
        <v>12</v>
      </c>
      <c r="C599" s="30">
        <v>25</v>
      </c>
      <c r="D599" s="30">
        <v>34</v>
      </c>
      <c r="E599" s="30">
        <v>60</v>
      </c>
      <c r="F599" s="35">
        <v>64</v>
      </c>
    </row>
    <row r="600" spans="2:6" ht="37.5" customHeight="1" thickBot="1" x14ac:dyDescent="0.3">
      <c r="B600" s="36" t="s">
        <v>10</v>
      </c>
      <c r="C600" s="37">
        <v>75</v>
      </c>
      <c r="D600" s="37"/>
      <c r="E600" s="142" t="s">
        <v>144</v>
      </c>
      <c r="F600" s="143"/>
    </row>
    <row r="601" spans="2:6" ht="15.75" thickBot="1" x14ac:dyDescent="0.3">
      <c r="B601" s="38"/>
      <c r="C601" s="38"/>
      <c r="D601" s="38"/>
      <c r="E601" s="38"/>
      <c r="F601" s="38"/>
    </row>
    <row r="602" spans="2:6" ht="37.5" customHeight="1" thickBot="1" x14ac:dyDescent="0.3">
      <c r="B602" s="23" t="s">
        <v>0</v>
      </c>
      <c r="C602" s="24" t="s">
        <v>1</v>
      </c>
      <c r="D602" s="24" t="s">
        <v>2</v>
      </c>
      <c r="E602" s="24" t="s">
        <v>3</v>
      </c>
      <c r="F602" s="25" t="s">
        <v>4</v>
      </c>
    </row>
    <row r="603" spans="2:6" ht="37.5" customHeight="1" x14ac:dyDescent="0.25">
      <c r="B603" s="26">
        <v>3</v>
      </c>
      <c r="C603" s="27">
        <v>25</v>
      </c>
      <c r="D603" s="27">
        <v>44</v>
      </c>
      <c r="E603" s="27">
        <v>48</v>
      </c>
      <c r="F603" s="22">
        <v>62</v>
      </c>
    </row>
    <row r="604" spans="2:6" ht="37.5" customHeight="1" thickBot="1" x14ac:dyDescent="0.3">
      <c r="B604" s="28">
        <v>12</v>
      </c>
      <c r="C604" s="29">
        <v>23</v>
      </c>
      <c r="D604" s="30">
        <v>40</v>
      </c>
      <c r="E604" s="29">
        <v>57</v>
      </c>
      <c r="F604" s="31">
        <v>66</v>
      </c>
    </row>
    <row r="605" spans="2:6" ht="37.5" customHeight="1" thickBot="1" x14ac:dyDescent="0.3">
      <c r="B605" s="28">
        <v>14</v>
      </c>
      <c r="C605" s="32">
        <v>28</v>
      </c>
      <c r="D605" s="18" t="s">
        <v>48</v>
      </c>
      <c r="E605" s="33">
        <v>46</v>
      </c>
      <c r="F605" s="31">
        <v>65</v>
      </c>
    </row>
    <row r="606" spans="2:6" ht="37.5" customHeight="1" x14ac:dyDescent="0.25">
      <c r="B606" s="28">
        <v>2</v>
      </c>
      <c r="C606" s="29">
        <v>29</v>
      </c>
      <c r="D606" s="27">
        <v>43</v>
      </c>
      <c r="E606" s="29">
        <v>58</v>
      </c>
      <c r="F606" s="31">
        <v>61</v>
      </c>
    </row>
    <row r="607" spans="2:6" ht="37.5" customHeight="1" thickBot="1" x14ac:dyDescent="0.3">
      <c r="B607" s="34">
        <v>7</v>
      </c>
      <c r="C607" s="30">
        <v>27</v>
      </c>
      <c r="D607" s="30">
        <v>35</v>
      </c>
      <c r="E607" s="30">
        <v>47</v>
      </c>
      <c r="F607" s="35">
        <v>71</v>
      </c>
    </row>
    <row r="608" spans="2:6" ht="37.5" customHeight="1" thickBot="1" x14ac:dyDescent="0.3">
      <c r="B608" s="36" t="s">
        <v>10</v>
      </c>
      <c r="C608" s="37">
        <v>76</v>
      </c>
      <c r="D608" s="37"/>
      <c r="E608" s="142" t="s">
        <v>144</v>
      </c>
      <c r="F608" s="143"/>
    </row>
    <row r="609" spans="2:6" ht="15.75" thickBot="1" x14ac:dyDescent="0.3">
      <c r="B609" s="38"/>
      <c r="C609" s="38"/>
      <c r="D609" s="38"/>
      <c r="E609" s="38"/>
      <c r="F609" s="38"/>
    </row>
    <row r="610" spans="2:6" ht="37.5" customHeight="1" thickBot="1" x14ac:dyDescent="0.3">
      <c r="B610" s="23" t="s">
        <v>0</v>
      </c>
      <c r="C610" s="24" t="s">
        <v>1</v>
      </c>
      <c r="D610" s="24" t="s">
        <v>2</v>
      </c>
      <c r="E610" s="24" t="s">
        <v>3</v>
      </c>
      <c r="F610" s="25" t="s">
        <v>4</v>
      </c>
    </row>
    <row r="611" spans="2:6" ht="37.5" customHeight="1" x14ac:dyDescent="0.25">
      <c r="B611" s="26">
        <v>15</v>
      </c>
      <c r="C611" s="27">
        <v>30</v>
      </c>
      <c r="D611" s="27">
        <v>41</v>
      </c>
      <c r="E611" s="27">
        <v>57</v>
      </c>
      <c r="F611" s="22">
        <v>68</v>
      </c>
    </row>
    <row r="612" spans="2:6" ht="37.5" customHeight="1" thickBot="1" x14ac:dyDescent="0.3">
      <c r="B612" s="28">
        <v>11</v>
      </c>
      <c r="C612" s="29">
        <v>25</v>
      </c>
      <c r="D612" s="30">
        <v>38</v>
      </c>
      <c r="E612" s="29">
        <v>59</v>
      </c>
      <c r="F612" s="31">
        <v>65</v>
      </c>
    </row>
    <row r="613" spans="2:6" ht="37.5" customHeight="1" thickBot="1" x14ac:dyDescent="0.3">
      <c r="B613" s="28">
        <v>6</v>
      </c>
      <c r="C613" s="32">
        <v>26</v>
      </c>
      <c r="D613" s="18" t="s">
        <v>48</v>
      </c>
      <c r="E613" s="33">
        <v>50</v>
      </c>
      <c r="F613" s="31">
        <v>61</v>
      </c>
    </row>
    <row r="614" spans="2:6" ht="37.5" customHeight="1" x14ac:dyDescent="0.25">
      <c r="B614" s="28">
        <v>10</v>
      </c>
      <c r="C614" s="29">
        <v>20</v>
      </c>
      <c r="D614" s="27">
        <v>33</v>
      </c>
      <c r="E614" s="29">
        <v>49</v>
      </c>
      <c r="F614" s="31">
        <v>69</v>
      </c>
    </row>
    <row r="615" spans="2:6" ht="37.5" customHeight="1" thickBot="1" x14ac:dyDescent="0.3">
      <c r="B615" s="34">
        <v>13</v>
      </c>
      <c r="C615" s="30">
        <v>17</v>
      </c>
      <c r="D615" s="30">
        <v>34</v>
      </c>
      <c r="E615" s="30">
        <v>47</v>
      </c>
      <c r="F615" s="35">
        <v>73</v>
      </c>
    </row>
    <row r="616" spans="2:6" ht="37.5" customHeight="1" thickBot="1" x14ac:dyDescent="0.3">
      <c r="B616" s="36" t="s">
        <v>10</v>
      </c>
      <c r="C616" s="37">
        <v>77</v>
      </c>
      <c r="D616" s="37"/>
      <c r="E616" s="142" t="s">
        <v>144</v>
      </c>
      <c r="F616" s="143"/>
    </row>
    <row r="617" spans="2:6" ht="15.75" thickBot="1" x14ac:dyDescent="0.3">
      <c r="B617" s="38"/>
      <c r="C617" s="38"/>
      <c r="D617" s="38"/>
      <c r="E617" s="38"/>
      <c r="F617" s="38"/>
    </row>
    <row r="618" spans="2:6" ht="37.5" customHeight="1" thickBot="1" x14ac:dyDescent="0.3">
      <c r="B618" s="23" t="s">
        <v>0</v>
      </c>
      <c r="C618" s="24" t="s">
        <v>1</v>
      </c>
      <c r="D618" s="24" t="s">
        <v>2</v>
      </c>
      <c r="E618" s="24" t="s">
        <v>3</v>
      </c>
      <c r="F618" s="25" t="s">
        <v>4</v>
      </c>
    </row>
    <row r="619" spans="2:6" ht="37.5" customHeight="1" x14ac:dyDescent="0.25">
      <c r="B619" s="26">
        <v>2</v>
      </c>
      <c r="C619" s="27">
        <v>29</v>
      </c>
      <c r="D619" s="27">
        <v>34</v>
      </c>
      <c r="E619" s="27">
        <v>58</v>
      </c>
      <c r="F619" s="22">
        <v>72</v>
      </c>
    </row>
    <row r="620" spans="2:6" ht="37.5" customHeight="1" thickBot="1" x14ac:dyDescent="0.3">
      <c r="B620" s="28">
        <v>1</v>
      </c>
      <c r="C620" s="29">
        <v>28</v>
      </c>
      <c r="D620" s="30">
        <v>45</v>
      </c>
      <c r="E620" s="29">
        <v>55</v>
      </c>
      <c r="F620" s="31">
        <v>74</v>
      </c>
    </row>
    <row r="621" spans="2:6" ht="37.5" customHeight="1" thickBot="1" x14ac:dyDescent="0.3">
      <c r="B621" s="28">
        <v>8</v>
      </c>
      <c r="C621" s="32">
        <v>23</v>
      </c>
      <c r="D621" s="18" t="s">
        <v>48</v>
      </c>
      <c r="E621" s="33">
        <v>49</v>
      </c>
      <c r="F621" s="31">
        <v>75</v>
      </c>
    </row>
    <row r="622" spans="2:6" ht="37.5" customHeight="1" x14ac:dyDescent="0.25">
      <c r="B622" s="28">
        <v>14</v>
      </c>
      <c r="C622" s="29">
        <v>21</v>
      </c>
      <c r="D622" s="27">
        <v>36</v>
      </c>
      <c r="E622" s="29">
        <v>52</v>
      </c>
      <c r="F622" s="31">
        <v>68</v>
      </c>
    </row>
    <row r="623" spans="2:6" ht="37.5" customHeight="1" thickBot="1" x14ac:dyDescent="0.3">
      <c r="B623" s="34">
        <v>12</v>
      </c>
      <c r="C623" s="30">
        <v>25</v>
      </c>
      <c r="D623" s="30">
        <v>40</v>
      </c>
      <c r="E623" s="30">
        <v>51</v>
      </c>
      <c r="F623" s="35">
        <v>67</v>
      </c>
    </row>
    <row r="624" spans="2:6" ht="37.5" customHeight="1" thickBot="1" x14ac:dyDescent="0.3">
      <c r="B624" s="36" t="s">
        <v>10</v>
      </c>
      <c r="C624" s="37">
        <v>78</v>
      </c>
      <c r="D624" s="37"/>
      <c r="E624" s="142" t="s">
        <v>144</v>
      </c>
      <c r="F624" s="143"/>
    </row>
    <row r="625" spans="2:6" ht="15.75" thickBot="1" x14ac:dyDescent="0.3">
      <c r="B625" s="38"/>
      <c r="C625" s="38"/>
      <c r="D625" s="38"/>
      <c r="E625" s="38"/>
      <c r="F625" s="38"/>
    </row>
    <row r="626" spans="2:6" ht="37.5" customHeight="1" thickBot="1" x14ac:dyDescent="0.3">
      <c r="B626" s="23" t="s">
        <v>0</v>
      </c>
      <c r="C626" s="24" t="s">
        <v>1</v>
      </c>
      <c r="D626" s="24" t="s">
        <v>2</v>
      </c>
      <c r="E626" s="24" t="s">
        <v>3</v>
      </c>
      <c r="F626" s="25" t="s">
        <v>4</v>
      </c>
    </row>
    <row r="627" spans="2:6" ht="37.5" customHeight="1" x14ac:dyDescent="0.25">
      <c r="B627" s="26">
        <v>12</v>
      </c>
      <c r="C627" s="27">
        <v>21</v>
      </c>
      <c r="D627" s="27">
        <v>43</v>
      </c>
      <c r="E627" s="27">
        <v>47</v>
      </c>
      <c r="F627" s="22">
        <v>71</v>
      </c>
    </row>
    <row r="628" spans="2:6" ht="37.5" customHeight="1" thickBot="1" x14ac:dyDescent="0.3">
      <c r="B628" s="28">
        <v>15</v>
      </c>
      <c r="C628" s="29">
        <v>30</v>
      </c>
      <c r="D628" s="30">
        <v>31</v>
      </c>
      <c r="E628" s="29">
        <v>54</v>
      </c>
      <c r="F628" s="31">
        <v>73</v>
      </c>
    </row>
    <row r="629" spans="2:6" ht="37.5" customHeight="1" thickBot="1" x14ac:dyDescent="0.3">
      <c r="B629" s="28">
        <v>13</v>
      </c>
      <c r="C629" s="32">
        <v>25</v>
      </c>
      <c r="D629" s="18" t="s">
        <v>48</v>
      </c>
      <c r="E629" s="33">
        <v>60</v>
      </c>
      <c r="F629" s="31">
        <v>69</v>
      </c>
    </row>
    <row r="630" spans="2:6" ht="37.5" customHeight="1" x14ac:dyDescent="0.25">
      <c r="B630" s="28">
        <v>8</v>
      </c>
      <c r="C630" s="29">
        <v>23</v>
      </c>
      <c r="D630" s="27">
        <v>36</v>
      </c>
      <c r="E630" s="29">
        <v>46</v>
      </c>
      <c r="F630" s="31">
        <v>62</v>
      </c>
    </row>
    <row r="631" spans="2:6" ht="37.5" customHeight="1" thickBot="1" x14ac:dyDescent="0.3">
      <c r="B631" s="34">
        <v>3</v>
      </c>
      <c r="C631" s="30">
        <v>17</v>
      </c>
      <c r="D631" s="30">
        <v>34</v>
      </c>
      <c r="E631" s="30">
        <v>52</v>
      </c>
      <c r="F631" s="35">
        <v>66</v>
      </c>
    </row>
    <row r="632" spans="2:6" ht="37.5" customHeight="1" thickBot="1" x14ac:dyDescent="0.3">
      <c r="B632" s="36" t="s">
        <v>10</v>
      </c>
      <c r="C632" s="37">
        <v>79</v>
      </c>
      <c r="D632" s="37"/>
      <c r="E632" s="142" t="s">
        <v>144</v>
      </c>
      <c r="F632" s="143"/>
    </row>
    <row r="633" spans="2:6" ht="15.75" thickBot="1" x14ac:dyDescent="0.3">
      <c r="B633" s="38"/>
      <c r="C633" s="38"/>
      <c r="D633" s="38"/>
      <c r="E633" s="38"/>
      <c r="F633" s="38"/>
    </row>
    <row r="634" spans="2:6" ht="37.5" customHeight="1" thickBot="1" x14ac:dyDescent="0.3">
      <c r="B634" s="23" t="s">
        <v>0</v>
      </c>
      <c r="C634" s="24" t="s">
        <v>1</v>
      </c>
      <c r="D634" s="24" t="s">
        <v>2</v>
      </c>
      <c r="E634" s="24" t="s">
        <v>3</v>
      </c>
      <c r="F634" s="25" t="s">
        <v>4</v>
      </c>
    </row>
    <row r="635" spans="2:6" ht="37.5" customHeight="1" x14ac:dyDescent="0.25">
      <c r="B635" s="26">
        <v>7</v>
      </c>
      <c r="C635" s="27">
        <v>27</v>
      </c>
      <c r="D635" s="27">
        <v>32</v>
      </c>
      <c r="E635" s="27">
        <v>47</v>
      </c>
      <c r="F635" s="22">
        <v>72</v>
      </c>
    </row>
    <row r="636" spans="2:6" ht="37.5" customHeight="1" thickBot="1" x14ac:dyDescent="0.3">
      <c r="B636" s="28">
        <v>15</v>
      </c>
      <c r="C636" s="29">
        <v>20</v>
      </c>
      <c r="D636" s="30">
        <v>37</v>
      </c>
      <c r="E636" s="29">
        <v>52</v>
      </c>
      <c r="F636" s="31">
        <v>71</v>
      </c>
    </row>
    <row r="637" spans="2:6" ht="37.5" customHeight="1" thickBot="1" x14ac:dyDescent="0.3">
      <c r="B637" s="28">
        <v>8</v>
      </c>
      <c r="C637" s="32">
        <v>16</v>
      </c>
      <c r="D637" s="18" t="s">
        <v>48</v>
      </c>
      <c r="E637" s="33">
        <v>54</v>
      </c>
      <c r="F637" s="31">
        <v>70</v>
      </c>
    </row>
    <row r="638" spans="2:6" ht="37.5" customHeight="1" x14ac:dyDescent="0.25">
      <c r="B638" s="28">
        <v>9</v>
      </c>
      <c r="C638" s="29">
        <v>22</v>
      </c>
      <c r="D638" s="27">
        <v>42</v>
      </c>
      <c r="E638" s="29">
        <v>55</v>
      </c>
      <c r="F638" s="31">
        <v>62</v>
      </c>
    </row>
    <row r="639" spans="2:6" ht="37.5" customHeight="1" thickBot="1" x14ac:dyDescent="0.3">
      <c r="B639" s="34">
        <v>13</v>
      </c>
      <c r="C639" s="30">
        <v>17</v>
      </c>
      <c r="D639" s="30">
        <v>39</v>
      </c>
      <c r="E639" s="30">
        <v>48</v>
      </c>
      <c r="F639" s="35">
        <v>64</v>
      </c>
    </row>
    <row r="640" spans="2:6" ht="37.5" customHeight="1" thickBot="1" x14ac:dyDescent="0.3">
      <c r="B640" s="36" t="s">
        <v>10</v>
      </c>
      <c r="C640" s="37">
        <v>80</v>
      </c>
      <c r="D640" s="37"/>
      <c r="E640" s="142" t="s">
        <v>144</v>
      </c>
      <c r="F640" s="143"/>
    </row>
    <row r="641" spans="2:6" ht="15.75" thickBot="1" x14ac:dyDescent="0.3">
      <c r="B641" s="38"/>
      <c r="C641" s="38"/>
      <c r="D641" s="38"/>
      <c r="E641" s="38"/>
      <c r="F641" s="38"/>
    </row>
    <row r="642" spans="2:6" ht="37.5" customHeight="1" thickBot="1" x14ac:dyDescent="0.3">
      <c r="B642" s="23" t="s">
        <v>0</v>
      </c>
      <c r="C642" s="24" t="s">
        <v>1</v>
      </c>
      <c r="D642" s="24" t="s">
        <v>2</v>
      </c>
      <c r="E642" s="24" t="s">
        <v>3</v>
      </c>
      <c r="F642" s="25" t="s">
        <v>4</v>
      </c>
    </row>
    <row r="643" spans="2:6" ht="37.5" customHeight="1" x14ac:dyDescent="0.25">
      <c r="B643" s="26">
        <v>14</v>
      </c>
      <c r="C643" s="27">
        <v>29</v>
      </c>
      <c r="D643" s="27">
        <v>31</v>
      </c>
      <c r="E643" s="27">
        <v>56</v>
      </c>
      <c r="F643" s="22">
        <v>73</v>
      </c>
    </row>
    <row r="644" spans="2:6" ht="37.5" customHeight="1" thickBot="1" x14ac:dyDescent="0.3">
      <c r="B644" s="28">
        <v>12</v>
      </c>
      <c r="C644" s="29">
        <v>30</v>
      </c>
      <c r="D644" s="30">
        <v>45</v>
      </c>
      <c r="E644" s="29">
        <v>57</v>
      </c>
      <c r="F644" s="31">
        <v>70</v>
      </c>
    </row>
    <row r="645" spans="2:6" ht="37.5" customHeight="1" thickBot="1" x14ac:dyDescent="0.3">
      <c r="B645" s="28">
        <v>8</v>
      </c>
      <c r="C645" s="32">
        <v>19</v>
      </c>
      <c r="D645" s="18" t="s">
        <v>48</v>
      </c>
      <c r="E645" s="33">
        <v>53</v>
      </c>
      <c r="F645" s="31">
        <v>68</v>
      </c>
    </row>
    <row r="646" spans="2:6" ht="37.5" customHeight="1" x14ac:dyDescent="0.25">
      <c r="B646" s="28">
        <v>13</v>
      </c>
      <c r="C646" s="29">
        <v>26</v>
      </c>
      <c r="D646" s="27">
        <v>33</v>
      </c>
      <c r="E646" s="29">
        <v>55</v>
      </c>
      <c r="F646" s="31">
        <v>72</v>
      </c>
    </row>
    <row r="647" spans="2:6" ht="37.5" customHeight="1" thickBot="1" x14ac:dyDescent="0.3">
      <c r="B647" s="34">
        <v>6</v>
      </c>
      <c r="C647" s="30">
        <v>22</v>
      </c>
      <c r="D647" s="30">
        <v>41</v>
      </c>
      <c r="E647" s="30">
        <v>50</v>
      </c>
      <c r="F647" s="35">
        <v>62</v>
      </c>
    </row>
    <row r="648" spans="2:6" ht="37.5" customHeight="1" thickBot="1" x14ac:dyDescent="0.3">
      <c r="B648" s="36" t="s">
        <v>10</v>
      </c>
      <c r="C648" s="37">
        <v>81</v>
      </c>
      <c r="D648" s="37"/>
      <c r="E648" s="142" t="s">
        <v>144</v>
      </c>
      <c r="F648" s="143"/>
    </row>
    <row r="649" spans="2:6" ht="15.75" thickBot="1" x14ac:dyDescent="0.3">
      <c r="B649" s="38"/>
      <c r="C649" s="38"/>
      <c r="D649" s="38"/>
      <c r="E649" s="38"/>
      <c r="F649" s="38"/>
    </row>
    <row r="650" spans="2:6" ht="37.5" customHeight="1" thickBot="1" x14ac:dyDescent="0.3">
      <c r="B650" s="23" t="s">
        <v>0</v>
      </c>
      <c r="C650" s="24" t="s">
        <v>1</v>
      </c>
      <c r="D650" s="24" t="s">
        <v>2</v>
      </c>
      <c r="E650" s="24" t="s">
        <v>3</v>
      </c>
      <c r="F650" s="25" t="s">
        <v>4</v>
      </c>
    </row>
    <row r="651" spans="2:6" ht="37.5" customHeight="1" x14ac:dyDescent="0.25">
      <c r="B651" s="26">
        <v>7</v>
      </c>
      <c r="C651" s="27">
        <v>30</v>
      </c>
      <c r="D651" s="27">
        <v>39</v>
      </c>
      <c r="E651" s="27">
        <v>56</v>
      </c>
      <c r="F651" s="22">
        <v>71</v>
      </c>
    </row>
    <row r="652" spans="2:6" ht="37.5" customHeight="1" thickBot="1" x14ac:dyDescent="0.3">
      <c r="B652" s="28">
        <v>6</v>
      </c>
      <c r="C652" s="29">
        <v>22</v>
      </c>
      <c r="D652" s="30">
        <v>31</v>
      </c>
      <c r="E652" s="29">
        <v>47</v>
      </c>
      <c r="F652" s="31">
        <v>66</v>
      </c>
    </row>
    <row r="653" spans="2:6" ht="37.5" customHeight="1" thickBot="1" x14ac:dyDescent="0.3">
      <c r="B653" s="28">
        <v>4</v>
      </c>
      <c r="C653" s="32">
        <v>27</v>
      </c>
      <c r="D653" s="18" t="s">
        <v>48</v>
      </c>
      <c r="E653" s="33">
        <v>46</v>
      </c>
      <c r="F653" s="31">
        <v>64</v>
      </c>
    </row>
    <row r="654" spans="2:6" ht="37.5" customHeight="1" x14ac:dyDescent="0.25">
      <c r="B654" s="28">
        <v>3</v>
      </c>
      <c r="C654" s="29">
        <v>16</v>
      </c>
      <c r="D654" s="27">
        <v>37</v>
      </c>
      <c r="E654" s="29">
        <v>53</v>
      </c>
      <c r="F654" s="31">
        <v>74</v>
      </c>
    </row>
    <row r="655" spans="2:6" ht="37.5" customHeight="1" thickBot="1" x14ac:dyDescent="0.3">
      <c r="B655" s="34">
        <v>14</v>
      </c>
      <c r="C655" s="30">
        <v>17</v>
      </c>
      <c r="D655" s="30">
        <v>41</v>
      </c>
      <c r="E655" s="30">
        <v>59</v>
      </c>
      <c r="F655" s="35">
        <v>73</v>
      </c>
    </row>
    <row r="656" spans="2:6" ht="37.5" customHeight="1" thickBot="1" x14ac:dyDescent="0.3">
      <c r="B656" s="36" t="s">
        <v>10</v>
      </c>
      <c r="C656" s="37">
        <v>82</v>
      </c>
      <c r="D656" s="37"/>
      <c r="E656" s="142" t="s">
        <v>144</v>
      </c>
      <c r="F656" s="143"/>
    </row>
    <row r="657" spans="2:6" ht="15.75" thickBot="1" x14ac:dyDescent="0.3">
      <c r="B657" s="38"/>
      <c r="C657" s="38"/>
      <c r="D657" s="38"/>
      <c r="E657" s="38"/>
      <c r="F657" s="38"/>
    </row>
    <row r="658" spans="2:6" ht="37.5" customHeight="1" thickBot="1" x14ac:dyDescent="0.3">
      <c r="B658" s="23" t="s">
        <v>0</v>
      </c>
      <c r="C658" s="24" t="s">
        <v>1</v>
      </c>
      <c r="D658" s="24" t="s">
        <v>2</v>
      </c>
      <c r="E658" s="24" t="s">
        <v>3</v>
      </c>
      <c r="F658" s="25" t="s">
        <v>4</v>
      </c>
    </row>
    <row r="659" spans="2:6" ht="37.5" customHeight="1" x14ac:dyDescent="0.25">
      <c r="B659" s="26">
        <v>7</v>
      </c>
      <c r="C659" s="27">
        <v>20</v>
      </c>
      <c r="D659" s="27">
        <v>32</v>
      </c>
      <c r="E659" s="27">
        <v>57</v>
      </c>
      <c r="F659" s="22">
        <v>68</v>
      </c>
    </row>
    <row r="660" spans="2:6" ht="37.5" customHeight="1" thickBot="1" x14ac:dyDescent="0.3">
      <c r="B660" s="28">
        <v>8</v>
      </c>
      <c r="C660" s="29">
        <v>22</v>
      </c>
      <c r="D660" s="30">
        <v>35</v>
      </c>
      <c r="E660" s="29">
        <v>56</v>
      </c>
      <c r="F660" s="31">
        <v>75</v>
      </c>
    </row>
    <row r="661" spans="2:6" ht="37.5" customHeight="1" thickBot="1" x14ac:dyDescent="0.3">
      <c r="B661" s="28">
        <v>10</v>
      </c>
      <c r="C661" s="32">
        <v>24</v>
      </c>
      <c r="D661" s="18" t="s">
        <v>48</v>
      </c>
      <c r="E661" s="33">
        <v>58</v>
      </c>
      <c r="F661" s="31">
        <v>70</v>
      </c>
    </row>
    <row r="662" spans="2:6" ht="37.5" customHeight="1" x14ac:dyDescent="0.25">
      <c r="B662" s="28">
        <v>9</v>
      </c>
      <c r="C662" s="29">
        <v>23</v>
      </c>
      <c r="D662" s="27">
        <v>43</v>
      </c>
      <c r="E662" s="29">
        <v>55</v>
      </c>
      <c r="F662" s="31">
        <v>62</v>
      </c>
    </row>
    <row r="663" spans="2:6" ht="37.5" customHeight="1" thickBot="1" x14ac:dyDescent="0.3">
      <c r="B663" s="34">
        <v>12</v>
      </c>
      <c r="C663" s="30">
        <v>18</v>
      </c>
      <c r="D663" s="30">
        <v>40</v>
      </c>
      <c r="E663" s="30">
        <v>49</v>
      </c>
      <c r="F663" s="35">
        <v>73</v>
      </c>
    </row>
    <row r="664" spans="2:6" ht="37.5" customHeight="1" thickBot="1" x14ac:dyDescent="0.3">
      <c r="B664" s="36" t="s">
        <v>10</v>
      </c>
      <c r="C664" s="37">
        <v>83</v>
      </c>
      <c r="D664" s="37"/>
      <c r="E664" s="142" t="s">
        <v>144</v>
      </c>
      <c r="F664" s="143"/>
    </row>
    <row r="665" spans="2:6" ht="15.75" thickBot="1" x14ac:dyDescent="0.3">
      <c r="B665" s="38"/>
      <c r="C665" s="38"/>
      <c r="D665" s="38"/>
      <c r="E665" s="38"/>
      <c r="F665" s="38"/>
    </row>
    <row r="666" spans="2:6" ht="37.5" customHeight="1" thickBot="1" x14ac:dyDescent="0.3">
      <c r="B666" s="23" t="s">
        <v>0</v>
      </c>
      <c r="C666" s="24" t="s">
        <v>1</v>
      </c>
      <c r="D666" s="24" t="s">
        <v>2</v>
      </c>
      <c r="E666" s="24" t="s">
        <v>3</v>
      </c>
      <c r="F666" s="25" t="s">
        <v>4</v>
      </c>
    </row>
    <row r="667" spans="2:6" ht="37.5" customHeight="1" x14ac:dyDescent="0.25">
      <c r="B667" s="26">
        <v>1</v>
      </c>
      <c r="C667" s="27">
        <v>26</v>
      </c>
      <c r="D667" s="27">
        <v>35</v>
      </c>
      <c r="E667" s="27">
        <v>55</v>
      </c>
      <c r="F667" s="22">
        <v>72</v>
      </c>
    </row>
    <row r="668" spans="2:6" ht="37.5" customHeight="1" thickBot="1" x14ac:dyDescent="0.3">
      <c r="B668" s="28">
        <v>12</v>
      </c>
      <c r="C668" s="29">
        <v>30</v>
      </c>
      <c r="D668" s="30">
        <v>42</v>
      </c>
      <c r="E668" s="29">
        <v>48</v>
      </c>
      <c r="F668" s="31">
        <v>67</v>
      </c>
    </row>
    <row r="669" spans="2:6" ht="37.5" customHeight="1" thickBot="1" x14ac:dyDescent="0.3">
      <c r="B669" s="28">
        <v>6</v>
      </c>
      <c r="C669" s="32">
        <v>21</v>
      </c>
      <c r="D669" s="18" t="s">
        <v>48</v>
      </c>
      <c r="E669" s="33">
        <v>49</v>
      </c>
      <c r="F669" s="31">
        <v>64</v>
      </c>
    </row>
    <row r="670" spans="2:6" ht="37.5" customHeight="1" x14ac:dyDescent="0.25">
      <c r="B670" s="28">
        <v>2</v>
      </c>
      <c r="C670" s="29">
        <v>24</v>
      </c>
      <c r="D670" s="27">
        <v>34</v>
      </c>
      <c r="E670" s="29">
        <v>54</v>
      </c>
      <c r="F670" s="31">
        <v>65</v>
      </c>
    </row>
    <row r="671" spans="2:6" ht="37.5" customHeight="1" thickBot="1" x14ac:dyDescent="0.3">
      <c r="B671" s="34">
        <v>11</v>
      </c>
      <c r="C671" s="30">
        <v>22</v>
      </c>
      <c r="D671" s="30">
        <v>31</v>
      </c>
      <c r="E671" s="30">
        <v>46</v>
      </c>
      <c r="F671" s="35">
        <v>61</v>
      </c>
    </row>
    <row r="672" spans="2:6" ht="37.5" customHeight="1" thickBot="1" x14ac:dyDescent="0.3">
      <c r="B672" s="36" t="s">
        <v>10</v>
      </c>
      <c r="C672" s="37">
        <v>84</v>
      </c>
      <c r="D672" s="37"/>
      <c r="E672" s="142" t="s">
        <v>144</v>
      </c>
      <c r="F672" s="143"/>
    </row>
    <row r="673" spans="2:6" ht="15.75" thickBot="1" x14ac:dyDescent="0.3">
      <c r="B673" s="38"/>
      <c r="C673" s="38"/>
      <c r="D673" s="38"/>
      <c r="E673" s="38"/>
      <c r="F673" s="38"/>
    </row>
    <row r="674" spans="2:6" ht="37.5" customHeight="1" thickBot="1" x14ac:dyDescent="0.3">
      <c r="B674" s="23" t="s">
        <v>0</v>
      </c>
      <c r="C674" s="24" t="s">
        <v>1</v>
      </c>
      <c r="D674" s="24" t="s">
        <v>2</v>
      </c>
      <c r="E674" s="24" t="s">
        <v>3</v>
      </c>
      <c r="F674" s="25" t="s">
        <v>4</v>
      </c>
    </row>
    <row r="675" spans="2:6" ht="37.5" customHeight="1" x14ac:dyDescent="0.25">
      <c r="B675" s="26">
        <v>2</v>
      </c>
      <c r="C675" s="27">
        <v>19</v>
      </c>
      <c r="D675" s="27">
        <v>37</v>
      </c>
      <c r="E675" s="27">
        <v>49</v>
      </c>
      <c r="F675" s="22">
        <v>61</v>
      </c>
    </row>
    <row r="676" spans="2:6" ht="37.5" customHeight="1" thickBot="1" x14ac:dyDescent="0.3">
      <c r="B676" s="28">
        <v>1</v>
      </c>
      <c r="C676" s="29">
        <v>23</v>
      </c>
      <c r="D676" s="30">
        <v>33</v>
      </c>
      <c r="E676" s="29">
        <v>53</v>
      </c>
      <c r="F676" s="31">
        <v>62</v>
      </c>
    </row>
    <row r="677" spans="2:6" ht="37.5" customHeight="1" thickBot="1" x14ac:dyDescent="0.3">
      <c r="B677" s="28">
        <v>14</v>
      </c>
      <c r="C677" s="32">
        <v>25</v>
      </c>
      <c r="D677" s="18" t="s">
        <v>48</v>
      </c>
      <c r="E677" s="33">
        <v>48</v>
      </c>
      <c r="F677" s="31">
        <v>73</v>
      </c>
    </row>
    <row r="678" spans="2:6" ht="37.5" customHeight="1" x14ac:dyDescent="0.25">
      <c r="B678" s="28">
        <v>15</v>
      </c>
      <c r="C678" s="29">
        <v>18</v>
      </c>
      <c r="D678" s="27">
        <v>32</v>
      </c>
      <c r="E678" s="29">
        <v>57</v>
      </c>
      <c r="F678" s="31">
        <v>72</v>
      </c>
    </row>
    <row r="679" spans="2:6" ht="37.5" customHeight="1" thickBot="1" x14ac:dyDescent="0.3">
      <c r="B679" s="34">
        <v>6</v>
      </c>
      <c r="C679" s="30">
        <v>29</v>
      </c>
      <c r="D679" s="30">
        <v>44</v>
      </c>
      <c r="E679" s="30">
        <v>60</v>
      </c>
      <c r="F679" s="35">
        <v>66</v>
      </c>
    </row>
    <row r="680" spans="2:6" ht="37.5" customHeight="1" thickBot="1" x14ac:dyDescent="0.3">
      <c r="B680" s="36" t="s">
        <v>10</v>
      </c>
      <c r="C680" s="37">
        <v>85</v>
      </c>
      <c r="D680" s="37"/>
      <c r="E680" s="142" t="s">
        <v>144</v>
      </c>
      <c r="F680" s="143"/>
    </row>
    <row r="681" spans="2:6" ht="15.75" thickBot="1" x14ac:dyDescent="0.3">
      <c r="B681" s="38"/>
      <c r="C681" s="38"/>
      <c r="D681" s="38"/>
      <c r="E681" s="38"/>
      <c r="F681" s="38"/>
    </row>
    <row r="682" spans="2:6" ht="37.5" customHeight="1" thickBot="1" x14ac:dyDescent="0.3">
      <c r="B682" s="23" t="s">
        <v>0</v>
      </c>
      <c r="C682" s="24" t="s">
        <v>1</v>
      </c>
      <c r="D682" s="24" t="s">
        <v>2</v>
      </c>
      <c r="E682" s="24" t="s">
        <v>3</v>
      </c>
      <c r="F682" s="25" t="s">
        <v>4</v>
      </c>
    </row>
    <row r="683" spans="2:6" ht="37.5" customHeight="1" x14ac:dyDescent="0.25">
      <c r="B683" s="26">
        <v>10</v>
      </c>
      <c r="C683" s="27">
        <v>29</v>
      </c>
      <c r="D683" s="27">
        <v>31</v>
      </c>
      <c r="E683" s="27">
        <v>56</v>
      </c>
      <c r="F683" s="22">
        <v>64</v>
      </c>
    </row>
    <row r="684" spans="2:6" ht="37.5" customHeight="1" thickBot="1" x14ac:dyDescent="0.3">
      <c r="B684" s="28">
        <v>3</v>
      </c>
      <c r="C684" s="29">
        <v>25</v>
      </c>
      <c r="D684" s="30">
        <v>44</v>
      </c>
      <c r="E684" s="29">
        <v>55</v>
      </c>
      <c r="F684" s="31">
        <v>68</v>
      </c>
    </row>
    <row r="685" spans="2:6" ht="37.5" customHeight="1" thickBot="1" x14ac:dyDescent="0.3">
      <c r="B685" s="28">
        <v>15</v>
      </c>
      <c r="C685" s="32">
        <v>26</v>
      </c>
      <c r="D685" s="18" t="s">
        <v>48</v>
      </c>
      <c r="E685" s="33">
        <v>46</v>
      </c>
      <c r="F685" s="31">
        <v>74</v>
      </c>
    </row>
    <row r="686" spans="2:6" ht="37.5" customHeight="1" x14ac:dyDescent="0.25">
      <c r="B686" s="28">
        <v>5</v>
      </c>
      <c r="C686" s="29">
        <v>30</v>
      </c>
      <c r="D686" s="27">
        <v>43</v>
      </c>
      <c r="E686" s="29">
        <v>60</v>
      </c>
      <c r="F686" s="31">
        <v>67</v>
      </c>
    </row>
    <row r="687" spans="2:6" ht="37.5" customHeight="1" thickBot="1" x14ac:dyDescent="0.3">
      <c r="B687" s="34">
        <v>2</v>
      </c>
      <c r="C687" s="30">
        <v>19</v>
      </c>
      <c r="D687" s="30">
        <v>33</v>
      </c>
      <c r="E687" s="30">
        <v>59</v>
      </c>
      <c r="F687" s="35">
        <v>75</v>
      </c>
    </row>
    <row r="688" spans="2:6" ht="37.5" customHeight="1" thickBot="1" x14ac:dyDescent="0.3">
      <c r="B688" s="36" t="s">
        <v>10</v>
      </c>
      <c r="C688" s="37">
        <v>86</v>
      </c>
      <c r="D688" s="37"/>
      <c r="E688" s="142" t="s">
        <v>144</v>
      </c>
      <c r="F688" s="143"/>
    </row>
    <row r="689" spans="2:6" ht="15.75" thickBot="1" x14ac:dyDescent="0.3">
      <c r="B689" s="38"/>
      <c r="C689" s="38"/>
      <c r="D689" s="38"/>
      <c r="E689" s="38"/>
      <c r="F689" s="38"/>
    </row>
    <row r="690" spans="2:6" ht="37.5" customHeight="1" thickBot="1" x14ac:dyDescent="0.3">
      <c r="B690" s="23" t="s">
        <v>0</v>
      </c>
      <c r="C690" s="24" t="s">
        <v>1</v>
      </c>
      <c r="D690" s="24" t="s">
        <v>2</v>
      </c>
      <c r="E690" s="24" t="s">
        <v>3</v>
      </c>
      <c r="F690" s="25" t="s">
        <v>4</v>
      </c>
    </row>
    <row r="691" spans="2:6" ht="37.5" customHeight="1" x14ac:dyDescent="0.25">
      <c r="B691" s="26">
        <v>4</v>
      </c>
      <c r="C691" s="27">
        <v>25</v>
      </c>
      <c r="D691" s="27">
        <v>32</v>
      </c>
      <c r="E691" s="27">
        <v>56</v>
      </c>
      <c r="F691" s="22">
        <v>70</v>
      </c>
    </row>
    <row r="692" spans="2:6" ht="37.5" customHeight="1" thickBot="1" x14ac:dyDescent="0.3">
      <c r="B692" s="28">
        <v>14</v>
      </c>
      <c r="C692" s="29">
        <v>30</v>
      </c>
      <c r="D692" s="30">
        <v>35</v>
      </c>
      <c r="E692" s="29">
        <v>50</v>
      </c>
      <c r="F692" s="31">
        <v>66</v>
      </c>
    </row>
    <row r="693" spans="2:6" ht="37.5" customHeight="1" thickBot="1" x14ac:dyDescent="0.3">
      <c r="B693" s="28">
        <v>2</v>
      </c>
      <c r="C693" s="32">
        <v>29</v>
      </c>
      <c r="D693" s="18" t="s">
        <v>48</v>
      </c>
      <c r="E693" s="33">
        <v>52</v>
      </c>
      <c r="F693" s="31">
        <v>68</v>
      </c>
    </row>
    <row r="694" spans="2:6" ht="37.5" customHeight="1" x14ac:dyDescent="0.25">
      <c r="B694" s="28">
        <v>6</v>
      </c>
      <c r="C694" s="29">
        <v>18</v>
      </c>
      <c r="D694" s="27">
        <v>38</v>
      </c>
      <c r="E694" s="29">
        <v>51</v>
      </c>
      <c r="F694" s="31">
        <v>65</v>
      </c>
    </row>
    <row r="695" spans="2:6" ht="37.5" customHeight="1" thickBot="1" x14ac:dyDescent="0.3">
      <c r="B695" s="34">
        <v>7</v>
      </c>
      <c r="C695" s="30">
        <v>26</v>
      </c>
      <c r="D695" s="30">
        <v>40</v>
      </c>
      <c r="E695" s="30">
        <v>55</v>
      </c>
      <c r="F695" s="35">
        <v>72</v>
      </c>
    </row>
    <row r="696" spans="2:6" ht="37.5" customHeight="1" thickBot="1" x14ac:dyDescent="0.3">
      <c r="B696" s="36" t="s">
        <v>10</v>
      </c>
      <c r="C696" s="37">
        <v>87</v>
      </c>
      <c r="D696" s="37"/>
      <c r="E696" s="142" t="s">
        <v>144</v>
      </c>
      <c r="F696" s="143"/>
    </row>
    <row r="697" spans="2:6" ht="15.75" thickBot="1" x14ac:dyDescent="0.3">
      <c r="B697" s="38"/>
      <c r="C697" s="38"/>
      <c r="D697" s="38"/>
      <c r="E697" s="38"/>
      <c r="F697" s="38"/>
    </row>
    <row r="698" spans="2:6" ht="37.5" customHeight="1" thickBot="1" x14ac:dyDescent="0.3">
      <c r="B698" s="23" t="s">
        <v>0</v>
      </c>
      <c r="C698" s="24" t="s">
        <v>1</v>
      </c>
      <c r="D698" s="24" t="s">
        <v>2</v>
      </c>
      <c r="E698" s="24" t="s">
        <v>3</v>
      </c>
      <c r="F698" s="25" t="s">
        <v>4</v>
      </c>
    </row>
    <row r="699" spans="2:6" ht="37.5" customHeight="1" x14ac:dyDescent="0.25">
      <c r="B699" s="26">
        <v>15</v>
      </c>
      <c r="C699" s="27">
        <v>25</v>
      </c>
      <c r="D699" s="27">
        <v>43</v>
      </c>
      <c r="E699" s="27">
        <v>47</v>
      </c>
      <c r="F699" s="22">
        <v>65</v>
      </c>
    </row>
    <row r="700" spans="2:6" ht="37.5" customHeight="1" thickBot="1" x14ac:dyDescent="0.3">
      <c r="B700" s="28">
        <v>9</v>
      </c>
      <c r="C700" s="29">
        <v>21</v>
      </c>
      <c r="D700" s="30">
        <v>32</v>
      </c>
      <c r="E700" s="29">
        <v>58</v>
      </c>
      <c r="F700" s="31">
        <v>68</v>
      </c>
    </row>
    <row r="701" spans="2:6" ht="37.5" customHeight="1" thickBot="1" x14ac:dyDescent="0.3">
      <c r="B701" s="28">
        <v>2</v>
      </c>
      <c r="C701" s="32">
        <v>30</v>
      </c>
      <c r="D701" s="18" t="s">
        <v>48</v>
      </c>
      <c r="E701" s="33">
        <v>49</v>
      </c>
      <c r="F701" s="31">
        <v>71</v>
      </c>
    </row>
    <row r="702" spans="2:6" ht="37.5" customHeight="1" x14ac:dyDescent="0.25">
      <c r="B702" s="28">
        <v>4</v>
      </c>
      <c r="C702" s="29">
        <v>20</v>
      </c>
      <c r="D702" s="27">
        <v>39</v>
      </c>
      <c r="E702" s="29">
        <v>60</v>
      </c>
      <c r="F702" s="31">
        <v>69</v>
      </c>
    </row>
    <row r="703" spans="2:6" ht="37.5" customHeight="1" thickBot="1" x14ac:dyDescent="0.3">
      <c r="B703" s="34">
        <v>14</v>
      </c>
      <c r="C703" s="30">
        <v>26</v>
      </c>
      <c r="D703" s="30">
        <v>45</v>
      </c>
      <c r="E703" s="30">
        <v>50</v>
      </c>
      <c r="F703" s="35">
        <v>72</v>
      </c>
    </row>
    <row r="704" spans="2:6" ht="37.5" customHeight="1" thickBot="1" x14ac:dyDescent="0.3">
      <c r="B704" s="36" t="s">
        <v>10</v>
      </c>
      <c r="C704" s="37">
        <v>88</v>
      </c>
      <c r="D704" s="37"/>
      <c r="E704" s="142" t="s">
        <v>144</v>
      </c>
      <c r="F704" s="143"/>
    </row>
    <row r="705" spans="2:6" ht="15.75" thickBot="1" x14ac:dyDescent="0.3">
      <c r="B705" s="38"/>
      <c r="C705" s="38"/>
      <c r="D705" s="38"/>
      <c r="E705" s="38"/>
      <c r="F705" s="38"/>
    </row>
    <row r="706" spans="2:6" ht="37.5" customHeight="1" thickBot="1" x14ac:dyDescent="0.3">
      <c r="B706" s="23" t="s">
        <v>0</v>
      </c>
      <c r="C706" s="24" t="s">
        <v>1</v>
      </c>
      <c r="D706" s="24" t="s">
        <v>2</v>
      </c>
      <c r="E706" s="24" t="s">
        <v>3</v>
      </c>
      <c r="F706" s="25" t="s">
        <v>4</v>
      </c>
    </row>
    <row r="707" spans="2:6" ht="37.5" customHeight="1" x14ac:dyDescent="0.25">
      <c r="B707" s="26">
        <v>7</v>
      </c>
      <c r="C707" s="27">
        <v>19</v>
      </c>
      <c r="D707" s="27">
        <v>36</v>
      </c>
      <c r="E707" s="27">
        <v>57</v>
      </c>
      <c r="F707" s="22">
        <v>67</v>
      </c>
    </row>
    <row r="708" spans="2:6" ht="37.5" customHeight="1" thickBot="1" x14ac:dyDescent="0.3">
      <c r="B708" s="28">
        <v>10</v>
      </c>
      <c r="C708" s="29">
        <v>23</v>
      </c>
      <c r="D708" s="30">
        <v>41</v>
      </c>
      <c r="E708" s="29">
        <v>52</v>
      </c>
      <c r="F708" s="31">
        <v>62</v>
      </c>
    </row>
    <row r="709" spans="2:6" ht="37.5" customHeight="1" thickBot="1" x14ac:dyDescent="0.3">
      <c r="B709" s="28">
        <v>14</v>
      </c>
      <c r="C709" s="32">
        <v>18</v>
      </c>
      <c r="D709" s="18" t="s">
        <v>48</v>
      </c>
      <c r="E709" s="33">
        <v>51</v>
      </c>
      <c r="F709" s="31">
        <v>75</v>
      </c>
    </row>
    <row r="710" spans="2:6" ht="37.5" customHeight="1" x14ac:dyDescent="0.25">
      <c r="B710" s="28">
        <v>3</v>
      </c>
      <c r="C710" s="29">
        <v>27</v>
      </c>
      <c r="D710" s="27">
        <v>33</v>
      </c>
      <c r="E710" s="29">
        <v>48</v>
      </c>
      <c r="F710" s="31">
        <v>72</v>
      </c>
    </row>
    <row r="711" spans="2:6" ht="37.5" customHeight="1" thickBot="1" x14ac:dyDescent="0.3">
      <c r="B711" s="34">
        <v>2</v>
      </c>
      <c r="C711" s="30">
        <v>17</v>
      </c>
      <c r="D711" s="30">
        <v>40</v>
      </c>
      <c r="E711" s="30">
        <v>59</v>
      </c>
      <c r="F711" s="35">
        <v>65</v>
      </c>
    </row>
    <row r="712" spans="2:6" ht="37.5" customHeight="1" thickBot="1" x14ac:dyDescent="0.3">
      <c r="B712" s="36" t="s">
        <v>10</v>
      </c>
      <c r="C712" s="37">
        <v>89</v>
      </c>
      <c r="D712" s="37"/>
      <c r="E712" s="142" t="s">
        <v>144</v>
      </c>
      <c r="F712" s="143"/>
    </row>
    <row r="713" spans="2:6" ht="15.75" thickBot="1" x14ac:dyDescent="0.3">
      <c r="B713" s="38"/>
      <c r="C713" s="38"/>
      <c r="D713" s="38"/>
      <c r="E713" s="38"/>
      <c r="F713" s="38"/>
    </row>
    <row r="714" spans="2:6" ht="37.5" customHeight="1" thickBot="1" x14ac:dyDescent="0.3">
      <c r="B714" s="23" t="s">
        <v>0</v>
      </c>
      <c r="C714" s="24" t="s">
        <v>1</v>
      </c>
      <c r="D714" s="24" t="s">
        <v>2</v>
      </c>
      <c r="E714" s="24" t="s">
        <v>3</v>
      </c>
      <c r="F714" s="25" t="s">
        <v>4</v>
      </c>
    </row>
    <row r="715" spans="2:6" ht="37.5" customHeight="1" x14ac:dyDescent="0.25">
      <c r="B715" s="26">
        <v>4</v>
      </c>
      <c r="C715" s="27">
        <v>24</v>
      </c>
      <c r="D715" s="27">
        <v>43</v>
      </c>
      <c r="E715" s="27">
        <v>58</v>
      </c>
      <c r="F715" s="22">
        <v>67</v>
      </c>
    </row>
    <row r="716" spans="2:6" ht="37.5" customHeight="1" thickBot="1" x14ac:dyDescent="0.3">
      <c r="B716" s="28">
        <v>10</v>
      </c>
      <c r="C716" s="29">
        <v>25</v>
      </c>
      <c r="D716" s="30">
        <v>41</v>
      </c>
      <c r="E716" s="29">
        <v>47</v>
      </c>
      <c r="F716" s="31">
        <v>61</v>
      </c>
    </row>
    <row r="717" spans="2:6" ht="37.5" customHeight="1" thickBot="1" x14ac:dyDescent="0.3">
      <c r="B717" s="28">
        <v>15</v>
      </c>
      <c r="C717" s="32">
        <v>26</v>
      </c>
      <c r="D717" s="18" t="s">
        <v>48</v>
      </c>
      <c r="E717" s="33">
        <v>60</v>
      </c>
      <c r="F717" s="31">
        <v>64</v>
      </c>
    </row>
    <row r="718" spans="2:6" ht="37.5" customHeight="1" x14ac:dyDescent="0.25">
      <c r="B718" s="28">
        <v>11</v>
      </c>
      <c r="C718" s="29">
        <v>23</v>
      </c>
      <c r="D718" s="27">
        <v>37</v>
      </c>
      <c r="E718" s="29">
        <v>55</v>
      </c>
      <c r="F718" s="31">
        <v>65</v>
      </c>
    </row>
    <row r="719" spans="2:6" ht="37.5" customHeight="1" thickBot="1" x14ac:dyDescent="0.3">
      <c r="B719" s="34">
        <v>12</v>
      </c>
      <c r="C719" s="30">
        <v>16</v>
      </c>
      <c r="D719" s="30">
        <v>36</v>
      </c>
      <c r="E719" s="30">
        <v>54</v>
      </c>
      <c r="F719" s="35">
        <v>72</v>
      </c>
    </row>
    <row r="720" spans="2:6" ht="37.5" customHeight="1" thickBot="1" x14ac:dyDescent="0.3">
      <c r="B720" s="36" t="s">
        <v>10</v>
      </c>
      <c r="C720" s="37">
        <v>90</v>
      </c>
      <c r="D720" s="37"/>
      <c r="E720" s="142" t="s">
        <v>144</v>
      </c>
      <c r="F720" s="143"/>
    </row>
    <row r="721" spans="2:6" ht="15.75" thickBot="1" x14ac:dyDescent="0.3">
      <c r="B721" s="38"/>
      <c r="C721" s="38"/>
      <c r="D721" s="38"/>
      <c r="E721" s="38"/>
      <c r="F721" s="38"/>
    </row>
    <row r="722" spans="2:6" ht="37.5" customHeight="1" thickBot="1" x14ac:dyDescent="0.3">
      <c r="B722" s="23" t="s">
        <v>0</v>
      </c>
      <c r="C722" s="24" t="s">
        <v>1</v>
      </c>
      <c r="D722" s="24" t="s">
        <v>2</v>
      </c>
      <c r="E722" s="24" t="s">
        <v>3</v>
      </c>
      <c r="F722" s="25" t="s">
        <v>4</v>
      </c>
    </row>
    <row r="723" spans="2:6" ht="37.5" customHeight="1" x14ac:dyDescent="0.25">
      <c r="B723" s="26">
        <v>15</v>
      </c>
      <c r="C723" s="27">
        <v>24</v>
      </c>
      <c r="D723" s="27">
        <v>39</v>
      </c>
      <c r="E723" s="27">
        <v>48</v>
      </c>
      <c r="F723" s="22">
        <v>65</v>
      </c>
    </row>
    <row r="724" spans="2:6" ht="37.5" customHeight="1" thickBot="1" x14ac:dyDescent="0.3">
      <c r="B724" s="28">
        <v>10</v>
      </c>
      <c r="C724" s="29">
        <v>21</v>
      </c>
      <c r="D724" s="30">
        <v>33</v>
      </c>
      <c r="E724" s="29">
        <v>54</v>
      </c>
      <c r="F724" s="31">
        <v>74</v>
      </c>
    </row>
    <row r="725" spans="2:6" ht="37.5" customHeight="1" thickBot="1" x14ac:dyDescent="0.3">
      <c r="B725" s="28">
        <v>2</v>
      </c>
      <c r="C725" s="32">
        <v>22</v>
      </c>
      <c r="D725" s="18" t="s">
        <v>48</v>
      </c>
      <c r="E725" s="33">
        <v>51</v>
      </c>
      <c r="F725" s="31">
        <v>62</v>
      </c>
    </row>
    <row r="726" spans="2:6" ht="37.5" customHeight="1" x14ac:dyDescent="0.25">
      <c r="B726" s="28">
        <v>11</v>
      </c>
      <c r="C726" s="29">
        <v>30</v>
      </c>
      <c r="D726" s="27">
        <v>36</v>
      </c>
      <c r="E726" s="29">
        <v>52</v>
      </c>
      <c r="F726" s="31">
        <v>66</v>
      </c>
    </row>
    <row r="727" spans="2:6" ht="37.5" customHeight="1" thickBot="1" x14ac:dyDescent="0.3">
      <c r="B727" s="34">
        <v>4</v>
      </c>
      <c r="C727" s="30">
        <v>25</v>
      </c>
      <c r="D727" s="30">
        <v>45</v>
      </c>
      <c r="E727" s="30">
        <v>58</v>
      </c>
      <c r="F727" s="35">
        <v>73</v>
      </c>
    </row>
    <row r="728" spans="2:6" ht="37.5" customHeight="1" thickBot="1" x14ac:dyDescent="0.3">
      <c r="B728" s="36" t="s">
        <v>10</v>
      </c>
      <c r="C728" s="37">
        <v>91</v>
      </c>
      <c r="D728" s="37"/>
      <c r="E728" s="142" t="s">
        <v>144</v>
      </c>
      <c r="F728" s="143"/>
    </row>
    <row r="729" spans="2:6" ht="15.75" thickBot="1" x14ac:dyDescent="0.3">
      <c r="B729" s="38"/>
      <c r="C729" s="38"/>
      <c r="D729" s="38"/>
      <c r="E729" s="38"/>
      <c r="F729" s="38"/>
    </row>
    <row r="730" spans="2:6" ht="37.5" customHeight="1" thickBot="1" x14ac:dyDescent="0.3">
      <c r="B730" s="23" t="s">
        <v>0</v>
      </c>
      <c r="C730" s="24" t="s">
        <v>1</v>
      </c>
      <c r="D730" s="24" t="s">
        <v>2</v>
      </c>
      <c r="E730" s="24" t="s">
        <v>3</v>
      </c>
      <c r="F730" s="25" t="s">
        <v>4</v>
      </c>
    </row>
    <row r="731" spans="2:6" ht="37.5" customHeight="1" x14ac:dyDescent="0.25">
      <c r="B731" s="26">
        <v>14</v>
      </c>
      <c r="C731" s="27">
        <v>17</v>
      </c>
      <c r="D731" s="27">
        <v>35</v>
      </c>
      <c r="E731" s="27">
        <v>47</v>
      </c>
      <c r="F731" s="22">
        <v>64</v>
      </c>
    </row>
    <row r="732" spans="2:6" ht="37.5" customHeight="1" thickBot="1" x14ac:dyDescent="0.3">
      <c r="B732" s="28">
        <v>3</v>
      </c>
      <c r="C732" s="29">
        <v>27</v>
      </c>
      <c r="D732" s="30">
        <v>31</v>
      </c>
      <c r="E732" s="29">
        <v>58</v>
      </c>
      <c r="F732" s="31">
        <v>70</v>
      </c>
    </row>
    <row r="733" spans="2:6" ht="37.5" customHeight="1" thickBot="1" x14ac:dyDescent="0.3">
      <c r="B733" s="28">
        <v>15</v>
      </c>
      <c r="C733" s="32">
        <v>21</v>
      </c>
      <c r="D733" s="18" t="s">
        <v>48</v>
      </c>
      <c r="E733" s="33">
        <v>59</v>
      </c>
      <c r="F733" s="31">
        <v>68</v>
      </c>
    </row>
    <row r="734" spans="2:6" ht="37.5" customHeight="1" x14ac:dyDescent="0.25">
      <c r="B734" s="28">
        <v>10</v>
      </c>
      <c r="C734" s="29">
        <v>23</v>
      </c>
      <c r="D734" s="27">
        <v>42</v>
      </c>
      <c r="E734" s="29">
        <v>52</v>
      </c>
      <c r="F734" s="31">
        <v>69</v>
      </c>
    </row>
    <row r="735" spans="2:6" ht="37.5" customHeight="1" thickBot="1" x14ac:dyDescent="0.3">
      <c r="B735" s="34">
        <v>2</v>
      </c>
      <c r="C735" s="30">
        <v>25</v>
      </c>
      <c r="D735" s="30">
        <v>38</v>
      </c>
      <c r="E735" s="30">
        <v>53</v>
      </c>
      <c r="F735" s="35">
        <v>67</v>
      </c>
    </row>
    <row r="736" spans="2:6" ht="37.5" customHeight="1" thickBot="1" x14ac:dyDescent="0.3">
      <c r="B736" s="36" t="s">
        <v>10</v>
      </c>
      <c r="C736" s="37">
        <v>92</v>
      </c>
      <c r="D736" s="37"/>
      <c r="E736" s="142" t="s">
        <v>144</v>
      </c>
      <c r="F736" s="143"/>
    </row>
    <row r="737" spans="2:6" ht="15.75" thickBot="1" x14ac:dyDescent="0.3">
      <c r="B737" s="38"/>
      <c r="C737" s="38"/>
      <c r="D737" s="38"/>
      <c r="E737" s="38"/>
      <c r="F737" s="38"/>
    </row>
    <row r="738" spans="2:6" ht="37.5" customHeight="1" thickBot="1" x14ac:dyDescent="0.3">
      <c r="B738" s="23" t="s">
        <v>0</v>
      </c>
      <c r="C738" s="24" t="s">
        <v>1</v>
      </c>
      <c r="D738" s="24" t="s">
        <v>2</v>
      </c>
      <c r="E738" s="24" t="s">
        <v>3</v>
      </c>
      <c r="F738" s="25" t="s">
        <v>4</v>
      </c>
    </row>
    <row r="739" spans="2:6" ht="37.5" customHeight="1" x14ac:dyDescent="0.25">
      <c r="B739" s="26">
        <v>4</v>
      </c>
      <c r="C739" s="27">
        <v>24</v>
      </c>
      <c r="D739" s="27">
        <v>44</v>
      </c>
      <c r="E739" s="27">
        <v>55</v>
      </c>
      <c r="F739" s="22">
        <v>73</v>
      </c>
    </row>
    <row r="740" spans="2:6" ht="37.5" customHeight="1" thickBot="1" x14ac:dyDescent="0.3">
      <c r="B740" s="28">
        <v>5</v>
      </c>
      <c r="C740" s="29">
        <v>22</v>
      </c>
      <c r="D740" s="30">
        <v>45</v>
      </c>
      <c r="E740" s="29">
        <v>51</v>
      </c>
      <c r="F740" s="31">
        <v>66</v>
      </c>
    </row>
    <row r="741" spans="2:6" ht="37.5" customHeight="1" thickBot="1" x14ac:dyDescent="0.3">
      <c r="B741" s="28">
        <v>9</v>
      </c>
      <c r="C741" s="32">
        <v>17</v>
      </c>
      <c r="D741" s="18" t="s">
        <v>48</v>
      </c>
      <c r="E741" s="33">
        <v>59</v>
      </c>
      <c r="F741" s="31">
        <v>62</v>
      </c>
    </row>
    <row r="742" spans="2:6" ht="37.5" customHeight="1" x14ac:dyDescent="0.25">
      <c r="B742" s="28">
        <v>13</v>
      </c>
      <c r="C742" s="29">
        <v>21</v>
      </c>
      <c r="D742" s="27">
        <v>41</v>
      </c>
      <c r="E742" s="29">
        <v>49</v>
      </c>
      <c r="F742" s="31">
        <v>71</v>
      </c>
    </row>
    <row r="743" spans="2:6" ht="37.5" customHeight="1" thickBot="1" x14ac:dyDescent="0.3">
      <c r="B743" s="34">
        <v>6</v>
      </c>
      <c r="C743" s="30">
        <v>18</v>
      </c>
      <c r="D743" s="30">
        <v>32</v>
      </c>
      <c r="E743" s="30">
        <v>56</v>
      </c>
      <c r="F743" s="35">
        <v>67</v>
      </c>
    </row>
    <row r="744" spans="2:6" ht="37.5" customHeight="1" thickBot="1" x14ac:dyDescent="0.3">
      <c r="B744" s="36" t="s">
        <v>10</v>
      </c>
      <c r="C744" s="37">
        <v>93</v>
      </c>
      <c r="D744" s="37"/>
      <c r="E744" s="142" t="s">
        <v>144</v>
      </c>
      <c r="F744" s="143"/>
    </row>
    <row r="745" spans="2:6" ht="15.75" thickBot="1" x14ac:dyDescent="0.3">
      <c r="B745" s="38"/>
      <c r="C745" s="38"/>
      <c r="D745" s="38"/>
      <c r="E745" s="38"/>
      <c r="F745" s="38"/>
    </row>
    <row r="746" spans="2:6" ht="37.5" customHeight="1" thickBot="1" x14ac:dyDescent="0.3">
      <c r="B746" s="23" t="s">
        <v>0</v>
      </c>
      <c r="C746" s="24" t="s">
        <v>1</v>
      </c>
      <c r="D746" s="24" t="s">
        <v>2</v>
      </c>
      <c r="E746" s="24" t="s">
        <v>3</v>
      </c>
      <c r="F746" s="25" t="s">
        <v>4</v>
      </c>
    </row>
    <row r="747" spans="2:6" ht="37.5" customHeight="1" x14ac:dyDescent="0.25">
      <c r="B747" s="26">
        <v>9</v>
      </c>
      <c r="C747" s="27">
        <v>17</v>
      </c>
      <c r="D747" s="27">
        <v>40</v>
      </c>
      <c r="E747" s="27">
        <v>53</v>
      </c>
      <c r="F747" s="22">
        <v>67</v>
      </c>
    </row>
    <row r="748" spans="2:6" ht="37.5" customHeight="1" thickBot="1" x14ac:dyDescent="0.3">
      <c r="B748" s="28">
        <v>3</v>
      </c>
      <c r="C748" s="29">
        <v>19</v>
      </c>
      <c r="D748" s="30">
        <v>36</v>
      </c>
      <c r="E748" s="29">
        <v>46</v>
      </c>
      <c r="F748" s="31">
        <v>73</v>
      </c>
    </row>
    <row r="749" spans="2:6" ht="37.5" customHeight="1" thickBot="1" x14ac:dyDescent="0.3">
      <c r="B749" s="28">
        <v>15</v>
      </c>
      <c r="C749" s="32">
        <v>23</v>
      </c>
      <c r="D749" s="18" t="s">
        <v>48</v>
      </c>
      <c r="E749" s="33">
        <v>49</v>
      </c>
      <c r="F749" s="31">
        <v>63</v>
      </c>
    </row>
    <row r="750" spans="2:6" ht="37.5" customHeight="1" x14ac:dyDescent="0.25">
      <c r="B750" s="28">
        <v>5</v>
      </c>
      <c r="C750" s="29">
        <v>30</v>
      </c>
      <c r="D750" s="27">
        <v>37</v>
      </c>
      <c r="E750" s="29">
        <v>51</v>
      </c>
      <c r="F750" s="31">
        <v>68</v>
      </c>
    </row>
    <row r="751" spans="2:6" ht="37.5" customHeight="1" thickBot="1" x14ac:dyDescent="0.3">
      <c r="B751" s="34">
        <v>14</v>
      </c>
      <c r="C751" s="30">
        <v>27</v>
      </c>
      <c r="D751" s="30">
        <v>43</v>
      </c>
      <c r="E751" s="30">
        <v>60</v>
      </c>
      <c r="F751" s="35">
        <v>65</v>
      </c>
    </row>
    <row r="752" spans="2:6" ht="37.5" customHeight="1" thickBot="1" x14ac:dyDescent="0.3">
      <c r="B752" s="36" t="s">
        <v>10</v>
      </c>
      <c r="C752" s="37">
        <v>94</v>
      </c>
      <c r="D752" s="37"/>
      <c r="E752" s="142" t="s">
        <v>144</v>
      </c>
      <c r="F752" s="143"/>
    </row>
    <row r="753" spans="2:6" ht="15.75" thickBot="1" x14ac:dyDescent="0.3">
      <c r="B753" s="38"/>
      <c r="C753" s="38"/>
      <c r="D753" s="38"/>
      <c r="E753" s="38"/>
      <c r="F753" s="38"/>
    </row>
    <row r="754" spans="2:6" ht="37.5" customHeight="1" thickBot="1" x14ac:dyDescent="0.3">
      <c r="B754" s="23" t="s">
        <v>0</v>
      </c>
      <c r="C754" s="24" t="s">
        <v>1</v>
      </c>
      <c r="D754" s="24" t="s">
        <v>2</v>
      </c>
      <c r="E754" s="24" t="s">
        <v>3</v>
      </c>
      <c r="F754" s="25" t="s">
        <v>4</v>
      </c>
    </row>
    <row r="755" spans="2:6" ht="37.5" customHeight="1" x14ac:dyDescent="0.25">
      <c r="B755" s="26">
        <v>2</v>
      </c>
      <c r="C755" s="27">
        <v>22</v>
      </c>
      <c r="D755" s="27">
        <v>34</v>
      </c>
      <c r="E755" s="27">
        <v>59</v>
      </c>
      <c r="F755" s="22">
        <v>64</v>
      </c>
    </row>
    <row r="756" spans="2:6" ht="37.5" customHeight="1" thickBot="1" x14ac:dyDescent="0.3">
      <c r="B756" s="28">
        <v>14</v>
      </c>
      <c r="C756" s="29">
        <v>27</v>
      </c>
      <c r="D756" s="30">
        <v>36</v>
      </c>
      <c r="E756" s="29">
        <v>49</v>
      </c>
      <c r="F756" s="31">
        <v>74</v>
      </c>
    </row>
    <row r="757" spans="2:6" ht="37.5" customHeight="1" thickBot="1" x14ac:dyDescent="0.3">
      <c r="B757" s="28">
        <v>5</v>
      </c>
      <c r="C757" s="32">
        <v>21</v>
      </c>
      <c r="D757" s="18" t="s">
        <v>48</v>
      </c>
      <c r="E757" s="33">
        <v>48</v>
      </c>
      <c r="F757" s="31">
        <v>66</v>
      </c>
    </row>
    <row r="758" spans="2:6" ht="37.5" customHeight="1" x14ac:dyDescent="0.25">
      <c r="B758" s="28">
        <v>7</v>
      </c>
      <c r="C758" s="29">
        <v>16</v>
      </c>
      <c r="D758" s="27">
        <v>45</v>
      </c>
      <c r="E758" s="29">
        <v>56</v>
      </c>
      <c r="F758" s="31">
        <v>68</v>
      </c>
    </row>
    <row r="759" spans="2:6" ht="37.5" customHeight="1" thickBot="1" x14ac:dyDescent="0.3">
      <c r="B759" s="34">
        <v>12</v>
      </c>
      <c r="C759" s="30">
        <v>19</v>
      </c>
      <c r="D759" s="30">
        <v>40</v>
      </c>
      <c r="E759" s="30">
        <v>52</v>
      </c>
      <c r="F759" s="35">
        <v>69</v>
      </c>
    </row>
    <row r="760" spans="2:6" ht="37.5" customHeight="1" thickBot="1" x14ac:dyDescent="0.3">
      <c r="B760" s="36" t="s">
        <v>10</v>
      </c>
      <c r="C760" s="37">
        <v>95</v>
      </c>
      <c r="D760" s="37"/>
      <c r="E760" s="142" t="s">
        <v>144</v>
      </c>
      <c r="F760" s="143"/>
    </row>
    <row r="761" spans="2:6" ht="15.75" thickBot="1" x14ac:dyDescent="0.3">
      <c r="B761" s="38"/>
      <c r="C761" s="38"/>
      <c r="D761" s="38"/>
      <c r="E761" s="38"/>
      <c r="F761" s="38"/>
    </row>
    <row r="762" spans="2:6" ht="37.5" customHeight="1" thickBot="1" x14ac:dyDescent="0.3">
      <c r="B762" s="23" t="s">
        <v>0</v>
      </c>
      <c r="C762" s="24" t="s">
        <v>1</v>
      </c>
      <c r="D762" s="24" t="s">
        <v>2</v>
      </c>
      <c r="E762" s="24" t="s">
        <v>3</v>
      </c>
      <c r="F762" s="25" t="s">
        <v>4</v>
      </c>
    </row>
    <row r="763" spans="2:6" ht="37.5" customHeight="1" x14ac:dyDescent="0.25">
      <c r="B763" s="26">
        <v>6</v>
      </c>
      <c r="C763" s="27">
        <v>29</v>
      </c>
      <c r="D763" s="27">
        <v>44</v>
      </c>
      <c r="E763" s="27">
        <v>56</v>
      </c>
      <c r="F763" s="22">
        <v>74</v>
      </c>
    </row>
    <row r="764" spans="2:6" ht="37.5" customHeight="1" thickBot="1" x14ac:dyDescent="0.3">
      <c r="B764" s="28">
        <v>15</v>
      </c>
      <c r="C764" s="29">
        <v>27</v>
      </c>
      <c r="D764" s="30">
        <v>31</v>
      </c>
      <c r="E764" s="29">
        <v>51</v>
      </c>
      <c r="F764" s="31">
        <v>72</v>
      </c>
    </row>
    <row r="765" spans="2:6" ht="37.5" customHeight="1" thickBot="1" x14ac:dyDescent="0.3">
      <c r="B765" s="28">
        <v>10</v>
      </c>
      <c r="C765" s="32">
        <v>17</v>
      </c>
      <c r="D765" s="18" t="s">
        <v>48</v>
      </c>
      <c r="E765" s="33">
        <v>50</v>
      </c>
      <c r="F765" s="31">
        <v>70</v>
      </c>
    </row>
    <row r="766" spans="2:6" ht="37.5" customHeight="1" x14ac:dyDescent="0.25">
      <c r="B766" s="28">
        <v>14</v>
      </c>
      <c r="C766" s="29">
        <v>18</v>
      </c>
      <c r="D766" s="27">
        <v>36</v>
      </c>
      <c r="E766" s="29">
        <v>60</v>
      </c>
      <c r="F766" s="31">
        <v>61</v>
      </c>
    </row>
    <row r="767" spans="2:6" ht="37.5" customHeight="1" thickBot="1" x14ac:dyDescent="0.3">
      <c r="B767" s="34">
        <v>4</v>
      </c>
      <c r="C767" s="30">
        <v>24</v>
      </c>
      <c r="D767" s="30">
        <v>39</v>
      </c>
      <c r="E767" s="30">
        <v>57</v>
      </c>
      <c r="F767" s="35">
        <v>66</v>
      </c>
    </row>
    <row r="768" spans="2:6" ht="37.5" customHeight="1" thickBot="1" x14ac:dyDescent="0.3">
      <c r="B768" s="36" t="s">
        <v>10</v>
      </c>
      <c r="C768" s="37">
        <v>96</v>
      </c>
      <c r="D768" s="37"/>
      <c r="E768" s="142" t="s">
        <v>144</v>
      </c>
      <c r="F768" s="143"/>
    </row>
    <row r="769" spans="2:6" ht="15.75" thickBot="1" x14ac:dyDescent="0.3">
      <c r="B769" s="38"/>
      <c r="C769" s="38"/>
      <c r="D769" s="38"/>
      <c r="E769" s="38"/>
      <c r="F769" s="38"/>
    </row>
    <row r="770" spans="2:6" ht="37.5" customHeight="1" thickBot="1" x14ac:dyDescent="0.3">
      <c r="B770" s="23" t="s">
        <v>0</v>
      </c>
      <c r="C770" s="24" t="s">
        <v>1</v>
      </c>
      <c r="D770" s="24" t="s">
        <v>2</v>
      </c>
      <c r="E770" s="24" t="s">
        <v>3</v>
      </c>
      <c r="F770" s="25" t="s">
        <v>4</v>
      </c>
    </row>
    <row r="771" spans="2:6" ht="37.5" customHeight="1" x14ac:dyDescent="0.25">
      <c r="B771" s="26">
        <v>15</v>
      </c>
      <c r="C771" s="27">
        <v>16</v>
      </c>
      <c r="D771" s="27">
        <v>43</v>
      </c>
      <c r="E771" s="27">
        <v>56</v>
      </c>
      <c r="F771" s="22">
        <v>65</v>
      </c>
    </row>
    <row r="772" spans="2:6" ht="37.5" customHeight="1" thickBot="1" x14ac:dyDescent="0.3">
      <c r="B772" s="28">
        <v>11</v>
      </c>
      <c r="C772" s="29">
        <v>25</v>
      </c>
      <c r="D772" s="30">
        <v>42</v>
      </c>
      <c r="E772" s="29">
        <v>46</v>
      </c>
      <c r="F772" s="31">
        <v>74</v>
      </c>
    </row>
    <row r="773" spans="2:6" ht="37.5" customHeight="1" thickBot="1" x14ac:dyDescent="0.3">
      <c r="B773" s="28">
        <v>3</v>
      </c>
      <c r="C773" s="32">
        <v>19</v>
      </c>
      <c r="D773" s="18" t="s">
        <v>48</v>
      </c>
      <c r="E773" s="33">
        <v>51</v>
      </c>
      <c r="F773" s="31">
        <v>69</v>
      </c>
    </row>
    <row r="774" spans="2:6" ht="37.5" customHeight="1" x14ac:dyDescent="0.25">
      <c r="B774" s="28">
        <v>13</v>
      </c>
      <c r="C774" s="29">
        <v>21</v>
      </c>
      <c r="D774" s="27">
        <v>45</v>
      </c>
      <c r="E774" s="29">
        <v>60</v>
      </c>
      <c r="F774" s="31">
        <v>66</v>
      </c>
    </row>
    <row r="775" spans="2:6" ht="37.5" customHeight="1" thickBot="1" x14ac:dyDescent="0.3">
      <c r="B775" s="34">
        <v>14</v>
      </c>
      <c r="C775" s="30">
        <v>28</v>
      </c>
      <c r="D775" s="30">
        <v>31</v>
      </c>
      <c r="E775" s="30">
        <v>50</v>
      </c>
      <c r="F775" s="35">
        <v>62</v>
      </c>
    </row>
    <row r="776" spans="2:6" ht="37.5" customHeight="1" thickBot="1" x14ac:dyDescent="0.3">
      <c r="B776" s="36" t="s">
        <v>10</v>
      </c>
      <c r="C776" s="37">
        <v>97</v>
      </c>
      <c r="D776" s="37"/>
      <c r="E776" s="142" t="s">
        <v>144</v>
      </c>
      <c r="F776" s="143"/>
    </row>
    <row r="777" spans="2:6" ht="15.75" thickBot="1" x14ac:dyDescent="0.3">
      <c r="B777" s="38"/>
      <c r="C777" s="38"/>
      <c r="D777" s="38"/>
      <c r="E777" s="38"/>
      <c r="F777" s="38"/>
    </row>
    <row r="778" spans="2:6" ht="37.5" customHeight="1" thickBot="1" x14ac:dyDescent="0.3">
      <c r="B778" s="23" t="s">
        <v>0</v>
      </c>
      <c r="C778" s="24" t="s">
        <v>1</v>
      </c>
      <c r="D778" s="24" t="s">
        <v>2</v>
      </c>
      <c r="E778" s="24" t="s">
        <v>3</v>
      </c>
      <c r="F778" s="25" t="s">
        <v>4</v>
      </c>
    </row>
    <row r="779" spans="2:6" ht="37.5" customHeight="1" x14ac:dyDescent="0.25">
      <c r="B779" s="26">
        <v>14</v>
      </c>
      <c r="C779" s="27">
        <v>20</v>
      </c>
      <c r="D779" s="27">
        <v>35</v>
      </c>
      <c r="E779" s="27">
        <v>47</v>
      </c>
      <c r="F779" s="22">
        <v>63</v>
      </c>
    </row>
    <row r="780" spans="2:6" ht="37.5" customHeight="1" thickBot="1" x14ac:dyDescent="0.3">
      <c r="B780" s="28">
        <v>6</v>
      </c>
      <c r="C780" s="29">
        <v>21</v>
      </c>
      <c r="D780" s="30">
        <v>43</v>
      </c>
      <c r="E780" s="29">
        <v>51</v>
      </c>
      <c r="F780" s="31">
        <v>73</v>
      </c>
    </row>
    <row r="781" spans="2:6" ht="37.5" customHeight="1" thickBot="1" x14ac:dyDescent="0.3">
      <c r="B781" s="28">
        <v>4</v>
      </c>
      <c r="C781" s="32">
        <v>27</v>
      </c>
      <c r="D781" s="18" t="s">
        <v>48</v>
      </c>
      <c r="E781" s="33">
        <v>52</v>
      </c>
      <c r="F781" s="31">
        <v>66</v>
      </c>
    </row>
    <row r="782" spans="2:6" ht="37.5" customHeight="1" x14ac:dyDescent="0.25">
      <c r="B782" s="28">
        <v>8</v>
      </c>
      <c r="C782" s="29">
        <v>29</v>
      </c>
      <c r="D782" s="27">
        <v>44</v>
      </c>
      <c r="E782" s="29">
        <v>53</v>
      </c>
      <c r="F782" s="31">
        <v>64</v>
      </c>
    </row>
    <row r="783" spans="2:6" ht="37.5" customHeight="1" thickBot="1" x14ac:dyDescent="0.3">
      <c r="B783" s="34">
        <v>2</v>
      </c>
      <c r="C783" s="30">
        <v>19</v>
      </c>
      <c r="D783" s="30">
        <v>37</v>
      </c>
      <c r="E783" s="30">
        <v>49</v>
      </c>
      <c r="F783" s="35">
        <v>75</v>
      </c>
    </row>
    <row r="784" spans="2:6" ht="37.5" customHeight="1" thickBot="1" x14ac:dyDescent="0.3">
      <c r="B784" s="36" t="s">
        <v>10</v>
      </c>
      <c r="C784" s="37">
        <v>98</v>
      </c>
      <c r="D784" s="37"/>
      <c r="E784" s="142" t="s">
        <v>144</v>
      </c>
      <c r="F784" s="143"/>
    </row>
    <row r="785" spans="2:6" ht="15.75" thickBot="1" x14ac:dyDescent="0.3">
      <c r="B785" s="38"/>
      <c r="C785" s="38"/>
      <c r="D785" s="38"/>
      <c r="E785" s="38"/>
      <c r="F785" s="38"/>
    </row>
    <row r="786" spans="2:6" ht="37.5" customHeight="1" thickBot="1" x14ac:dyDescent="0.3">
      <c r="B786" s="23" t="s">
        <v>0</v>
      </c>
      <c r="C786" s="24" t="s">
        <v>1</v>
      </c>
      <c r="D786" s="24" t="s">
        <v>2</v>
      </c>
      <c r="E786" s="24" t="s">
        <v>3</v>
      </c>
      <c r="F786" s="25" t="s">
        <v>4</v>
      </c>
    </row>
    <row r="787" spans="2:6" ht="37.5" customHeight="1" x14ac:dyDescent="0.25">
      <c r="B787" s="26">
        <v>15</v>
      </c>
      <c r="C787" s="27">
        <v>22</v>
      </c>
      <c r="D787" s="27">
        <v>45</v>
      </c>
      <c r="E787" s="27">
        <v>46</v>
      </c>
      <c r="F787" s="22">
        <v>71</v>
      </c>
    </row>
    <row r="788" spans="2:6" ht="37.5" customHeight="1" thickBot="1" x14ac:dyDescent="0.3">
      <c r="B788" s="28">
        <v>2</v>
      </c>
      <c r="C788" s="29">
        <v>21</v>
      </c>
      <c r="D788" s="30">
        <v>39</v>
      </c>
      <c r="E788" s="29">
        <v>53</v>
      </c>
      <c r="F788" s="31">
        <v>69</v>
      </c>
    </row>
    <row r="789" spans="2:6" ht="37.5" customHeight="1" thickBot="1" x14ac:dyDescent="0.3">
      <c r="B789" s="28">
        <v>5</v>
      </c>
      <c r="C789" s="32">
        <v>26</v>
      </c>
      <c r="D789" s="18" t="s">
        <v>48</v>
      </c>
      <c r="E789" s="33">
        <v>59</v>
      </c>
      <c r="F789" s="31">
        <v>67</v>
      </c>
    </row>
    <row r="790" spans="2:6" ht="37.5" customHeight="1" x14ac:dyDescent="0.25">
      <c r="B790" s="28">
        <v>1</v>
      </c>
      <c r="C790" s="29">
        <v>16</v>
      </c>
      <c r="D790" s="27">
        <v>37</v>
      </c>
      <c r="E790" s="29">
        <v>60</v>
      </c>
      <c r="F790" s="31">
        <v>66</v>
      </c>
    </row>
    <row r="791" spans="2:6" ht="37.5" customHeight="1" thickBot="1" x14ac:dyDescent="0.3">
      <c r="B791" s="34">
        <v>3</v>
      </c>
      <c r="C791" s="30">
        <v>19</v>
      </c>
      <c r="D791" s="30">
        <v>34</v>
      </c>
      <c r="E791" s="30">
        <v>55</v>
      </c>
      <c r="F791" s="35">
        <v>75</v>
      </c>
    </row>
    <row r="792" spans="2:6" ht="37.5" customHeight="1" thickBot="1" x14ac:dyDescent="0.3">
      <c r="B792" s="36" t="s">
        <v>10</v>
      </c>
      <c r="C792" s="37">
        <v>99</v>
      </c>
      <c r="D792" s="37"/>
      <c r="E792" s="142" t="s">
        <v>144</v>
      </c>
      <c r="F792" s="143"/>
    </row>
    <row r="793" spans="2:6" ht="15.75" thickBot="1" x14ac:dyDescent="0.3">
      <c r="B793" s="38"/>
      <c r="C793" s="38"/>
      <c r="D793" s="38"/>
      <c r="E793" s="38"/>
      <c r="F793" s="38"/>
    </row>
    <row r="794" spans="2:6" ht="37.5" customHeight="1" thickBot="1" x14ac:dyDescent="0.3">
      <c r="B794" s="23" t="s">
        <v>0</v>
      </c>
      <c r="C794" s="24" t="s">
        <v>1</v>
      </c>
      <c r="D794" s="24" t="s">
        <v>2</v>
      </c>
      <c r="E794" s="24" t="s">
        <v>3</v>
      </c>
      <c r="F794" s="25" t="s">
        <v>4</v>
      </c>
    </row>
    <row r="795" spans="2:6" ht="37.5" customHeight="1" x14ac:dyDescent="0.25">
      <c r="B795" s="26">
        <v>10</v>
      </c>
      <c r="C795" s="27">
        <v>16</v>
      </c>
      <c r="D795" s="27">
        <v>39</v>
      </c>
      <c r="E795" s="27">
        <v>56</v>
      </c>
      <c r="F795" s="22">
        <v>72</v>
      </c>
    </row>
    <row r="796" spans="2:6" ht="37.5" customHeight="1" thickBot="1" x14ac:dyDescent="0.3">
      <c r="B796" s="28">
        <v>12</v>
      </c>
      <c r="C796" s="29">
        <v>28</v>
      </c>
      <c r="D796" s="30">
        <v>34</v>
      </c>
      <c r="E796" s="29">
        <v>54</v>
      </c>
      <c r="F796" s="31">
        <v>67</v>
      </c>
    </row>
    <row r="797" spans="2:6" ht="37.5" customHeight="1" thickBot="1" x14ac:dyDescent="0.3">
      <c r="B797" s="28">
        <v>11</v>
      </c>
      <c r="C797" s="32">
        <v>18</v>
      </c>
      <c r="D797" s="18" t="s">
        <v>48</v>
      </c>
      <c r="E797" s="33">
        <v>47</v>
      </c>
      <c r="F797" s="31">
        <v>73</v>
      </c>
    </row>
    <row r="798" spans="2:6" ht="37.5" customHeight="1" x14ac:dyDescent="0.25">
      <c r="B798" s="28">
        <v>4</v>
      </c>
      <c r="C798" s="29">
        <v>21</v>
      </c>
      <c r="D798" s="27">
        <v>43</v>
      </c>
      <c r="E798" s="29">
        <v>51</v>
      </c>
      <c r="F798" s="31">
        <v>66</v>
      </c>
    </row>
    <row r="799" spans="2:6" ht="37.5" customHeight="1" thickBot="1" x14ac:dyDescent="0.3">
      <c r="B799" s="34">
        <v>1</v>
      </c>
      <c r="C799" s="30">
        <v>24</v>
      </c>
      <c r="D799" s="30">
        <v>38</v>
      </c>
      <c r="E799" s="30">
        <v>49</v>
      </c>
      <c r="F799" s="35">
        <v>64</v>
      </c>
    </row>
    <row r="800" spans="2:6" ht="37.5" customHeight="1" thickBot="1" x14ac:dyDescent="0.3">
      <c r="B800" s="36" t="s">
        <v>10</v>
      </c>
      <c r="C800" s="37">
        <v>100</v>
      </c>
      <c r="D800" s="37"/>
      <c r="E800" s="142" t="s">
        <v>144</v>
      </c>
      <c r="F800" s="143"/>
    </row>
    <row r="801" spans="2:6" ht="15.75" thickBot="1" x14ac:dyDescent="0.3">
      <c r="B801" s="38"/>
      <c r="C801" s="38"/>
      <c r="D801" s="38"/>
      <c r="E801" s="38"/>
      <c r="F801" s="38"/>
    </row>
    <row r="802" spans="2:6" ht="37.5" customHeight="1" thickBot="1" x14ac:dyDescent="0.3">
      <c r="B802" s="23"/>
      <c r="C802" s="24"/>
      <c r="D802" s="24"/>
      <c r="E802" s="24"/>
      <c r="F802" s="25"/>
    </row>
    <row r="803" spans="2:6" ht="37.5" customHeight="1" x14ac:dyDescent="0.25">
      <c r="B803" s="194"/>
      <c r="C803" s="112"/>
      <c r="D803" s="112"/>
      <c r="E803" s="195"/>
      <c r="F803" s="196"/>
    </row>
    <row r="804" spans="2:6" ht="37.5" customHeight="1" thickBot="1" x14ac:dyDescent="0.3">
      <c r="B804" s="11"/>
      <c r="C804" s="96"/>
      <c r="D804" s="109"/>
      <c r="E804" s="12"/>
      <c r="F804" s="196"/>
    </row>
    <row r="805" spans="2:6" ht="37.5" customHeight="1" thickBot="1" x14ac:dyDescent="0.3">
      <c r="B805" s="11"/>
      <c r="C805" s="110"/>
      <c r="D805" s="93"/>
      <c r="E805" s="197"/>
      <c r="F805" s="196"/>
    </row>
    <row r="806" spans="2:6" ht="37.5" customHeight="1" x14ac:dyDescent="0.25">
      <c r="B806" s="11"/>
      <c r="C806" s="96"/>
      <c r="D806" s="112"/>
      <c r="E806" s="12"/>
      <c r="F806" s="196"/>
    </row>
    <row r="807" spans="2:6" ht="37.5" customHeight="1" thickBot="1" x14ac:dyDescent="0.3">
      <c r="B807" s="198"/>
      <c r="C807" s="109"/>
      <c r="D807" s="109"/>
      <c r="E807" s="199"/>
      <c r="F807" s="196"/>
    </row>
    <row r="808" spans="2:6" ht="37.5" customHeight="1" thickBot="1" x14ac:dyDescent="0.3">
      <c r="B808" s="200"/>
      <c r="C808" s="201"/>
      <c r="D808" s="201"/>
      <c r="E808" s="201"/>
      <c r="F808" s="202"/>
    </row>
  </sheetData>
  <mergeCells count="100">
    <mergeCell ref="E776:F776"/>
    <mergeCell ref="E784:F784"/>
    <mergeCell ref="E792:F792"/>
    <mergeCell ref="E800:F800"/>
    <mergeCell ref="E728:F728"/>
    <mergeCell ref="E736:F736"/>
    <mergeCell ref="E744:F744"/>
    <mergeCell ref="E752:F752"/>
    <mergeCell ref="E760:F760"/>
    <mergeCell ref="E768:F768"/>
    <mergeCell ref="E680:F680"/>
    <mergeCell ref="E688:F688"/>
    <mergeCell ref="E696:F696"/>
    <mergeCell ref="E704:F704"/>
    <mergeCell ref="E712:F712"/>
    <mergeCell ref="E720:F720"/>
    <mergeCell ref="E632:F632"/>
    <mergeCell ref="E640:F640"/>
    <mergeCell ref="E648:F648"/>
    <mergeCell ref="E656:F656"/>
    <mergeCell ref="E664:F664"/>
    <mergeCell ref="E672:F672"/>
    <mergeCell ref="E584:F584"/>
    <mergeCell ref="E592:F592"/>
    <mergeCell ref="E600:F600"/>
    <mergeCell ref="E608:F608"/>
    <mergeCell ref="E616:F616"/>
    <mergeCell ref="E624:F624"/>
    <mergeCell ref="E536:F536"/>
    <mergeCell ref="E544:F544"/>
    <mergeCell ref="E552:F552"/>
    <mergeCell ref="E560:F560"/>
    <mergeCell ref="E568:F568"/>
    <mergeCell ref="E576:F576"/>
    <mergeCell ref="E488:F488"/>
    <mergeCell ref="E496:F496"/>
    <mergeCell ref="E504:F504"/>
    <mergeCell ref="E512:F512"/>
    <mergeCell ref="E520:F520"/>
    <mergeCell ref="E528:F528"/>
    <mergeCell ref="E440:F440"/>
    <mergeCell ref="E448:F448"/>
    <mergeCell ref="E456:F456"/>
    <mergeCell ref="E464:F464"/>
    <mergeCell ref="E472:F472"/>
    <mergeCell ref="E480:F480"/>
    <mergeCell ref="E392:F392"/>
    <mergeCell ref="E400:F400"/>
    <mergeCell ref="E408:F408"/>
    <mergeCell ref="E416:F416"/>
    <mergeCell ref="E424:F424"/>
    <mergeCell ref="E432:F432"/>
    <mergeCell ref="E344:F344"/>
    <mergeCell ref="E352:F352"/>
    <mergeCell ref="E360:F360"/>
    <mergeCell ref="E368:F368"/>
    <mergeCell ref="E376:F376"/>
    <mergeCell ref="E384:F384"/>
    <mergeCell ref="E296:F296"/>
    <mergeCell ref="E304:F304"/>
    <mergeCell ref="E312:F312"/>
    <mergeCell ref="E320:F320"/>
    <mergeCell ref="E328:F328"/>
    <mergeCell ref="E336:F336"/>
    <mergeCell ref="E248:F248"/>
    <mergeCell ref="E256:F256"/>
    <mergeCell ref="E264:F264"/>
    <mergeCell ref="E272:F272"/>
    <mergeCell ref="E280:F280"/>
    <mergeCell ref="E288:F288"/>
    <mergeCell ref="E200:F200"/>
    <mergeCell ref="E208:F208"/>
    <mergeCell ref="E216:F216"/>
    <mergeCell ref="E224:F224"/>
    <mergeCell ref="E232:F232"/>
    <mergeCell ref="E240:F240"/>
    <mergeCell ref="E152:F152"/>
    <mergeCell ref="E160:F160"/>
    <mergeCell ref="E168:F168"/>
    <mergeCell ref="E176:F176"/>
    <mergeCell ref="E184:F184"/>
    <mergeCell ref="E192:F192"/>
    <mergeCell ref="E104:F104"/>
    <mergeCell ref="E112:F112"/>
    <mergeCell ref="E120:F120"/>
    <mergeCell ref="E128:F128"/>
    <mergeCell ref="E136:F136"/>
    <mergeCell ref="E144:F144"/>
    <mergeCell ref="E56:F56"/>
    <mergeCell ref="E64:F64"/>
    <mergeCell ref="E72:F72"/>
    <mergeCell ref="E80:F80"/>
    <mergeCell ref="E88:F88"/>
    <mergeCell ref="E96:F96"/>
    <mergeCell ref="E8:F8"/>
    <mergeCell ref="E16:F16"/>
    <mergeCell ref="E24:F24"/>
    <mergeCell ref="E32:F32"/>
    <mergeCell ref="E40:F40"/>
    <mergeCell ref="E48:F48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A64D6-86AB-452E-BA0C-BF46227A8F04}">
  <sheetPr codeName="Hoja7"/>
  <dimension ref="A2:E800"/>
  <sheetViews>
    <sheetView topLeftCell="A121" workbookViewId="0">
      <selection activeCell="G37" sqref="G37"/>
    </sheetView>
  </sheetViews>
  <sheetFormatPr baseColWidth="10" defaultRowHeight="15" x14ac:dyDescent="0.25"/>
  <sheetData>
    <row r="2" spans="1:5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</row>
    <row r="3" spans="1:5" x14ac:dyDescent="0.25">
      <c r="A3">
        <v>11</v>
      </c>
      <c r="B3">
        <v>27</v>
      </c>
      <c r="C3">
        <v>43</v>
      </c>
      <c r="D3">
        <v>59</v>
      </c>
      <c r="E3">
        <v>72</v>
      </c>
    </row>
    <row r="4" spans="1:5" x14ac:dyDescent="0.25">
      <c r="A4">
        <v>9</v>
      </c>
      <c r="B4">
        <v>28</v>
      </c>
      <c r="C4">
        <v>42</v>
      </c>
      <c r="D4">
        <v>46</v>
      </c>
      <c r="E4">
        <v>61</v>
      </c>
    </row>
    <row r="5" spans="1:5" x14ac:dyDescent="0.25">
      <c r="A5">
        <v>5</v>
      </c>
      <c r="B5">
        <v>26</v>
      </c>
      <c r="C5" t="s">
        <v>48</v>
      </c>
      <c r="D5">
        <v>60</v>
      </c>
      <c r="E5">
        <v>69</v>
      </c>
    </row>
    <row r="6" spans="1:5" x14ac:dyDescent="0.25">
      <c r="A6">
        <v>12</v>
      </c>
      <c r="B6">
        <v>16</v>
      </c>
      <c r="C6">
        <v>36</v>
      </c>
      <c r="D6">
        <v>51</v>
      </c>
      <c r="E6">
        <v>68</v>
      </c>
    </row>
    <row r="7" spans="1:5" x14ac:dyDescent="0.25">
      <c r="A7">
        <v>1</v>
      </c>
      <c r="B7">
        <v>22</v>
      </c>
      <c r="C7">
        <v>45</v>
      </c>
      <c r="D7">
        <v>53</v>
      </c>
      <c r="E7">
        <v>65</v>
      </c>
    </row>
    <row r="8" spans="1:5" x14ac:dyDescent="0.25">
      <c r="A8" t="s">
        <v>10</v>
      </c>
      <c r="B8" s="7">
        <v>1</v>
      </c>
      <c r="D8" s="144" t="s">
        <v>144</v>
      </c>
      <c r="E8" s="144"/>
    </row>
    <row r="10" spans="1:5" x14ac:dyDescent="0.25">
      <c r="A10" t="s">
        <v>0</v>
      </c>
      <c r="B10" t="s">
        <v>1</v>
      </c>
      <c r="C10" t="s">
        <v>2</v>
      </c>
      <c r="D10" t="s">
        <v>3</v>
      </c>
      <c r="E10" t="s">
        <v>4</v>
      </c>
    </row>
    <row r="11" spans="1:5" x14ac:dyDescent="0.25">
      <c r="A11">
        <v>10</v>
      </c>
      <c r="B11">
        <v>30</v>
      </c>
      <c r="C11">
        <v>32</v>
      </c>
      <c r="D11">
        <v>54</v>
      </c>
      <c r="E11">
        <v>65</v>
      </c>
    </row>
    <row r="12" spans="1:5" x14ac:dyDescent="0.25">
      <c r="A12">
        <v>4</v>
      </c>
      <c r="B12">
        <v>29</v>
      </c>
      <c r="C12">
        <v>45</v>
      </c>
      <c r="D12">
        <v>47</v>
      </c>
      <c r="E12">
        <v>66</v>
      </c>
    </row>
    <row r="13" spans="1:5" x14ac:dyDescent="0.25">
      <c r="A13">
        <v>5</v>
      </c>
      <c r="B13">
        <v>19</v>
      </c>
      <c r="C13" t="s">
        <v>48</v>
      </c>
      <c r="D13">
        <v>57</v>
      </c>
      <c r="E13">
        <v>75</v>
      </c>
    </row>
    <row r="14" spans="1:5" x14ac:dyDescent="0.25">
      <c r="A14">
        <v>13</v>
      </c>
      <c r="B14">
        <v>26</v>
      </c>
      <c r="C14">
        <v>41</v>
      </c>
      <c r="D14">
        <v>50</v>
      </c>
      <c r="E14">
        <v>67</v>
      </c>
    </row>
    <row r="15" spans="1:5" x14ac:dyDescent="0.25">
      <c r="A15">
        <v>9</v>
      </c>
      <c r="B15">
        <v>24</v>
      </c>
      <c r="C15">
        <v>31</v>
      </c>
      <c r="D15">
        <v>46</v>
      </c>
      <c r="E15">
        <v>63</v>
      </c>
    </row>
    <row r="16" spans="1:5" x14ac:dyDescent="0.25">
      <c r="A16" t="s">
        <v>10</v>
      </c>
      <c r="B16" s="7">
        <v>2</v>
      </c>
      <c r="D16" s="144" t="s">
        <v>144</v>
      </c>
      <c r="E16" s="144"/>
    </row>
    <row r="18" spans="1:5" x14ac:dyDescent="0.25">
      <c r="A18" t="s">
        <v>0</v>
      </c>
      <c r="B18" t="s">
        <v>1</v>
      </c>
      <c r="C18" t="s">
        <v>2</v>
      </c>
      <c r="D18" t="s">
        <v>3</v>
      </c>
      <c r="E18" t="s">
        <v>4</v>
      </c>
    </row>
    <row r="19" spans="1:5" x14ac:dyDescent="0.25">
      <c r="A19">
        <v>3</v>
      </c>
      <c r="B19">
        <v>25</v>
      </c>
      <c r="C19">
        <v>37</v>
      </c>
      <c r="D19">
        <v>51</v>
      </c>
      <c r="E19">
        <v>62</v>
      </c>
    </row>
    <row r="20" spans="1:5" x14ac:dyDescent="0.25">
      <c r="A20">
        <v>10</v>
      </c>
      <c r="B20">
        <v>19</v>
      </c>
      <c r="C20">
        <v>44</v>
      </c>
      <c r="D20">
        <v>50</v>
      </c>
      <c r="E20">
        <v>69</v>
      </c>
    </row>
    <row r="21" spans="1:5" x14ac:dyDescent="0.25">
      <c r="A21">
        <v>7</v>
      </c>
      <c r="B21">
        <v>18</v>
      </c>
      <c r="C21" t="s">
        <v>48</v>
      </c>
      <c r="D21">
        <v>59</v>
      </c>
      <c r="E21">
        <v>71</v>
      </c>
    </row>
    <row r="22" spans="1:5" x14ac:dyDescent="0.25">
      <c r="A22">
        <v>11</v>
      </c>
      <c r="B22">
        <v>24</v>
      </c>
      <c r="C22">
        <v>34</v>
      </c>
      <c r="D22">
        <v>55</v>
      </c>
      <c r="E22">
        <v>74</v>
      </c>
    </row>
    <row r="23" spans="1:5" x14ac:dyDescent="0.25">
      <c r="A23">
        <v>5</v>
      </c>
      <c r="B23">
        <v>17</v>
      </c>
      <c r="C23">
        <v>42</v>
      </c>
      <c r="D23">
        <v>52</v>
      </c>
      <c r="E23">
        <v>73</v>
      </c>
    </row>
    <row r="24" spans="1:5" x14ac:dyDescent="0.25">
      <c r="A24" t="s">
        <v>10</v>
      </c>
      <c r="B24" s="7">
        <v>3</v>
      </c>
      <c r="D24" s="144" t="s">
        <v>144</v>
      </c>
      <c r="E24" s="144"/>
    </row>
    <row r="26" spans="1:5" x14ac:dyDescent="0.25">
      <c r="A26" t="s">
        <v>0</v>
      </c>
      <c r="B26" t="s">
        <v>1</v>
      </c>
      <c r="C26" t="s">
        <v>2</v>
      </c>
      <c r="D26" t="s">
        <v>3</v>
      </c>
      <c r="E26" t="s">
        <v>4</v>
      </c>
    </row>
    <row r="27" spans="1:5" x14ac:dyDescent="0.25">
      <c r="A27">
        <v>1</v>
      </c>
      <c r="B27">
        <v>23</v>
      </c>
      <c r="C27">
        <v>34</v>
      </c>
      <c r="D27">
        <v>51</v>
      </c>
      <c r="E27">
        <v>69</v>
      </c>
    </row>
    <row r="28" spans="1:5" x14ac:dyDescent="0.25">
      <c r="A28">
        <v>9</v>
      </c>
      <c r="B28">
        <v>22</v>
      </c>
      <c r="C28">
        <v>45</v>
      </c>
      <c r="D28">
        <v>53</v>
      </c>
      <c r="E28">
        <v>63</v>
      </c>
    </row>
    <row r="29" spans="1:5" x14ac:dyDescent="0.25">
      <c r="A29">
        <v>14</v>
      </c>
      <c r="B29">
        <v>21</v>
      </c>
      <c r="C29" t="s">
        <v>48</v>
      </c>
      <c r="D29">
        <v>48</v>
      </c>
      <c r="E29">
        <v>75</v>
      </c>
    </row>
    <row r="30" spans="1:5" x14ac:dyDescent="0.25">
      <c r="A30">
        <v>7</v>
      </c>
      <c r="B30">
        <v>20</v>
      </c>
      <c r="C30">
        <v>31</v>
      </c>
      <c r="D30">
        <v>49</v>
      </c>
      <c r="E30">
        <v>70</v>
      </c>
    </row>
    <row r="31" spans="1:5" x14ac:dyDescent="0.25">
      <c r="A31">
        <v>11</v>
      </c>
      <c r="B31">
        <v>16</v>
      </c>
      <c r="C31">
        <v>36</v>
      </c>
      <c r="D31">
        <v>55</v>
      </c>
      <c r="E31">
        <v>68</v>
      </c>
    </row>
    <row r="32" spans="1:5" x14ac:dyDescent="0.25">
      <c r="A32" t="s">
        <v>10</v>
      </c>
      <c r="B32" s="7">
        <v>4</v>
      </c>
      <c r="D32" s="144" t="s">
        <v>144</v>
      </c>
      <c r="E32" s="144"/>
    </row>
    <row r="34" spans="1:5" x14ac:dyDescent="0.25">
      <c r="A34" t="s">
        <v>0</v>
      </c>
      <c r="B34" t="s">
        <v>1</v>
      </c>
      <c r="C34" t="s">
        <v>2</v>
      </c>
      <c r="D34" t="s">
        <v>3</v>
      </c>
      <c r="E34" t="s">
        <v>4</v>
      </c>
    </row>
    <row r="35" spans="1:5" x14ac:dyDescent="0.25">
      <c r="A35">
        <v>6</v>
      </c>
      <c r="B35">
        <v>28</v>
      </c>
      <c r="C35">
        <v>32</v>
      </c>
      <c r="D35">
        <v>54</v>
      </c>
      <c r="E35">
        <v>67</v>
      </c>
    </row>
    <row r="36" spans="1:5" x14ac:dyDescent="0.25">
      <c r="A36">
        <v>2</v>
      </c>
      <c r="B36">
        <v>16</v>
      </c>
      <c r="C36">
        <v>31</v>
      </c>
      <c r="D36">
        <v>58</v>
      </c>
      <c r="E36">
        <v>66</v>
      </c>
    </row>
    <row r="37" spans="1:5" x14ac:dyDescent="0.25">
      <c r="A37">
        <v>12</v>
      </c>
      <c r="B37">
        <v>19</v>
      </c>
      <c r="C37" t="s">
        <v>48</v>
      </c>
      <c r="D37">
        <v>47</v>
      </c>
      <c r="E37">
        <v>63</v>
      </c>
    </row>
    <row r="38" spans="1:5" x14ac:dyDescent="0.25">
      <c r="A38">
        <v>7</v>
      </c>
      <c r="B38">
        <v>17</v>
      </c>
      <c r="C38">
        <v>39</v>
      </c>
      <c r="D38">
        <v>48</v>
      </c>
      <c r="E38">
        <v>71</v>
      </c>
    </row>
    <row r="39" spans="1:5" x14ac:dyDescent="0.25">
      <c r="A39">
        <v>9</v>
      </c>
      <c r="B39">
        <v>20</v>
      </c>
      <c r="C39">
        <v>40</v>
      </c>
      <c r="D39">
        <v>56</v>
      </c>
      <c r="E39">
        <v>74</v>
      </c>
    </row>
    <row r="40" spans="1:5" x14ac:dyDescent="0.25">
      <c r="A40" t="s">
        <v>10</v>
      </c>
      <c r="B40" s="7">
        <v>5</v>
      </c>
      <c r="D40" s="144" t="s">
        <v>144</v>
      </c>
      <c r="E40" s="144"/>
    </row>
    <row r="42" spans="1:5" x14ac:dyDescent="0.25">
      <c r="A42" t="s">
        <v>0</v>
      </c>
      <c r="B42" t="s">
        <v>1</v>
      </c>
      <c r="C42" t="s">
        <v>2</v>
      </c>
      <c r="D42" t="s">
        <v>3</v>
      </c>
      <c r="E42" t="s">
        <v>4</v>
      </c>
    </row>
    <row r="43" spans="1:5" x14ac:dyDescent="0.25">
      <c r="A43">
        <v>8</v>
      </c>
      <c r="B43">
        <v>20</v>
      </c>
      <c r="C43">
        <v>32</v>
      </c>
      <c r="D43">
        <v>57</v>
      </c>
      <c r="E43">
        <v>61</v>
      </c>
    </row>
    <row r="44" spans="1:5" x14ac:dyDescent="0.25">
      <c r="A44">
        <v>2</v>
      </c>
      <c r="B44">
        <v>17</v>
      </c>
      <c r="C44">
        <v>37</v>
      </c>
      <c r="D44">
        <v>50</v>
      </c>
      <c r="E44">
        <v>65</v>
      </c>
    </row>
    <row r="45" spans="1:5" x14ac:dyDescent="0.25">
      <c r="A45">
        <v>12</v>
      </c>
      <c r="B45">
        <v>24</v>
      </c>
      <c r="C45" t="s">
        <v>48</v>
      </c>
      <c r="D45">
        <v>56</v>
      </c>
      <c r="E45">
        <v>72</v>
      </c>
    </row>
    <row r="46" spans="1:5" x14ac:dyDescent="0.25">
      <c r="A46">
        <v>7</v>
      </c>
      <c r="B46">
        <v>18</v>
      </c>
      <c r="C46">
        <v>35</v>
      </c>
      <c r="D46">
        <v>49</v>
      </c>
      <c r="E46">
        <v>64</v>
      </c>
    </row>
    <row r="47" spans="1:5" x14ac:dyDescent="0.25">
      <c r="A47">
        <v>4</v>
      </c>
      <c r="B47">
        <v>29</v>
      </c>
      <c r="C47">
        <v>44</v>
      </c>
      <c r="D47">
        <v>47</v>
      </c>
      <c r="E47">
        <v>68</v>
      </c>
    </row>
    <row r="48" spans="1:5" x14ac:dyDescent="0.25">
      <c r="A48" t="s">
        <v>10</v>
      </c>
      <c r="B48" s="7">
        <v>6</v>
      </c>
      <c r="D48" s="144" t="s">
        <v>144</v>
      </c>
      <c r="E48" s="144"/>
    </row>
    <row r="50" spans="1:5" x14ac:dyDescent="0.25">
      <c r="A50" t="s">
        <v>0</v>
      </c>
      <c r="B50" t="s">
        <v>1</v>
      </c>
      <c r="C50" t="s">
        <v>2</v>
      </c>
      <c r="D50" t="s">
        <v>3</v>
      </c>
      <c r="E50" t="s">
        <v>4</v>
      </c>
    </row>
    <row r="51" spans="1:5" x14ac:dyDescent="0.25">
      <c r="A51">
        <v>4</v>
      </c>
      <c r="B51">
        <v>24</v>
      </c>
      <c r="C51">
        <v>40</v>
      </c>
      <c r="D51">
        <v>59</v>
      </c>
      <c r="E51">
        <v>64</v>
      </c>
    </row>
    <row r="52" spans="1:5" x14ac:dyDescent="0.25">
      <c r="A52">
        <v>6</v>
      </c>
      <c r="B52">
        <v>27</v>
      </c>
      <c r="C52">
        <v>37</v>
      </c>
      <c r="D52">
        <v>55</v>
      </c>
      <c r="E52">
        <v>75</v>
      </c>
    </row>
    <row r="53" spans="1:5" x14ac:dyDescent="0.25">
      <c r="A53">
        <v>1</v>
      </c>
      <c r="B53">
        <v>29</v>
      </c>
      <c r="C53" t="s">
        <v>48</v>
      </c>
      <c r="D53">
        <v>51</v>
      </c>
      <c r="E53">
        <v>62</v>
      </c>
    </row>
    <row r="54" spans="1:5" x14ac:dyDescent="0.25">
      <c r="A54">
        <v>8</v>
      </c>
      <c r="B54">
        <v>20</v>
      </c>
      <c r="C54">
        <v>45</v>
      </c>
      <c r="D54">
        <v>48</v>
      </c>
      <c r="E54">
        <v>61</v>
      </c>
    </row>
    <row r="55" spans="1:5" x14ac:dyDescent="0.25">
      <c r="A55">
        <v>13</v>
      </c>
      <c r="B55">
        <v>17</v>
      </c>
      <c r="C55">
        <v>32</v>
      </c>
      <c r="D55">
        <v>53</v>
      </c>
      <c r="E55">
        <v>66</v>
      </c>
    </row>
    <row r="56" spans="1:5" x14ac:dyDescent="0.25">
      <c r="A56" t="s">
        <v>10</v>
      </c>
      <c r="B56" s="7">
        <v>7</v>
      </c>
      <c r="D56" s="144" t="s">
        <v>144</v>
      </c>
      <c r="E56" s="144"/>
    </row>
    <row r="58" spans="1:5" x14ac:dyDescent="0.25">
      <c r="A58" t="s">
        <v>0</v>
      </c>
      <c r="B58" t="s">
        <v>1</v>
      </c>
      <c r="C58" t="s">
        <v>2</v>
      </c>
      <c r="D58" t="s">
        <v>3</v>
      </c>
      <c r="E58" t="s">
        <v>4</v>
      </c>
    </row>
    <row r="59" spans="1:5" x14ac:dyDescent="0.25">
      <c r="A59">
        <v>9</v>
      </c>
      <c r="B59">
        <v>26</v>
      </c>
      <c r="C59">
        <v>41</v>
      </c>
      <c r="D59">
        <v>58</v>
      </c>
      <c r="E59">
        <v>70</v>
      </c>
    </row>
    <row r="60" spans="1:5" x14ac:dyDescent="0.25">
      <c r="A60">
        <v>14</v>
      </c>
      <c r="B60">
        <v>30</v>
      </c>
      <c r="C60">
        <v>33</v>
      </c>
      <c r="D60">
        <v>54</v>
      </c>
      <c r="E60">
        <v>68</v>
      </c>
    </row>
    <row r="61" spans="1:5" x14ac:dyDescent="0.25">
      <c r="A61">
        <v>7</v>
      </c>
      <c r="B61">
        <v>21</v>
      </c>
      <c r="C61" t="s">
        <v>48</v>
      </c>
      <c r="D61">
        <v>52</v>
      </c>
      <c r="E61">
        <v>71</v>
      </c>
    </row>
    <row r="62" spans="1:5" x14ac:dyDescent="0.25">
      <c r="A62">
        <v>13</v>
      </c>
      <c r="B62">
        <v>23</v>
      </c>
      <c r="C62">
        <v>37</v>
      </c>
      <c r="D62">
        <v>53</v>
      </c>
      <c r="E62">
        <v>74</v>
      </c>
    </row>
    <row r="63" spans="1:5" x14ac:dyDescent="0.25">
      <c r="A63">
        <v>11</v>
      </c>
      <c r="B63">
        <v>22</v>
      </c>
      <c r="C63">
        <v>39</v>
      </c>
      <c r="D63">
        <v>49</v>
      </c>
      <c r="E63">
        <v>66</v>
      </c>
    </row>
    <row r="64" spans="1:5" x14ac:dyDescent="0.25">
      <c r="A64" t="s">
        <v>10</v>
      </c>
      <c r="B64" s="7">
        <v>8</v>
      </c>
      <c r="D64" s="144" t="s">
        <v>144</v>
      </c>
      <c r="E64" s="144"/>
    </row>
    <row r="66" spans="1:5" x14ac:dyDescent="0.25">
      <c r="A66" t="s">
        <v>0</v>
      </c>
      <c r="B66" t="s">
        <v>1</v>
      </c>
      <c r="C66" t="s">
        <v>2</v>
      </c>
      <c r="D66" t="s">
        <v>3</v>
      </c>
      <c r="E66" t="s">
        <v>4</v>
      </c>
    </row>
    <row r="67" spans="1:5" x14ac:dyDescent="0.25">
      <c r="A67">
        <v>5</v>
      </c>
      <c r="B67">
        <v>21</v>
      </c>
      <c r="C67">
        <v>42</v>
      </c>
      <c r="D67">
        <v>49</v>
      </c>
      <c r="E67">
        <v>67</v>
      </c>
    </row>
    <row r="68" spans="1:5" x14ac:dyDescent="0.25">
      <c r="A68">
        <v>3</v>
      </c>
      <c r="B68">
        <v>29</v>
      </c>
      <c r="C68">
        <v>40</v>
      </c>
      <c r="D68">
        <v>60</v>
      </c>
      <c r="E68">
        <v>62</v>
      </c>
    </row>
    <row r="69" spans="1:5" x14ac:dyDescent="0.25">
      <c r="A69">
        <v>8</v>
      </c>
      <c r="B69">
        <v>23</v>
      </c>
      <c r="C69" t="s">
        <v>48</v>
      </c>
      <c r="D69">
        <v>46</v>
      </c>
      <c r="E69">
        <v>63</v>
      </c>
    </row>
    <row r="70" spans="1:5" x14ac:dyDescent="0.25">
      <c r="A70">
        <v>4</v>
      </c>
      <c r="B70">
        <v>18</v>
      </c>
      <c r="C70">
        <v>33</v>
      </c>
      <c r="D70">
        <v>57</v>
      </c>
      <c r="E70">
        <v>61</v>
      </c>
    </row>
    <row r="71" spans="1:5" x14ac:dyDescent="0.25">
      <c r="A71">
        <v>9</v>
      </c>
      <c r="B71">
        <v>26</v>
      </c>
      <c r="C71">
        <v>43</v>
      </c>
      <c r="D71">
        <v>51</v>
      </c>
      <c r="E71">
        <v>71</v>
      </c>
    </row>
    <row r="72" spans="1:5" x14ac:dyDescent="0.25">
      <c r="A72" t="s">
        <v>10</v>
      </c>
      <c r="B72" s="7">
        <v>9</v>
      </c>
      <c r="D72" s="144" t="s">
        <v>144</v>
      </c>
      <c r="E72" s="144"/>
    </row>
    <row r="74" spans="1:5" x14ac:dyDescent="0.25">
      <c r="A74" t="s">
        <v>0</v>
      </c>
      <c r="B74" t="s">
        <v>1</v>
      </c>
      <c r="C74" t="s">
        <v>2</v>
      </c>
      <c r="D74" t="s">
        <v>3</v>
      </c>
      <c r="E74" t="s">
        <v>4</v>
      </c>
    </row>
    <row r="75" spans="1:5" x14ac:dyDescent="0.25">
      <c r="A75">
        <v>8</v>
      </c>
      <c r="B75">
        <v>29</v>
      </c>
      <c r="C75">
        <v>31</v>
      </c>
      <c r="D75">
        <v>58</v>
      </c>
      <c r="E75">
        <v>66</v>
      </c>
    </row>
    <row r="76" spans="1:5" x14ac:dyDescent="0.25">
      <c r="A76">
        <v>9</v>
      </c>
      <c r="B76">
        <v>27</v>
      </c>
      <c r="C76">
        <v>37</v>
      </c>
      <c r="D76">
        <v>56</v>
      </c>
      <c r="E76">
        <v>67</v>
      </c>
    </row>
    <row r="77" spans="1:5" x14ac:dyDescent="0.25">
      <c r="A77">
        <v>4</v>
      </c>
      <c r="B77">
        <v>17</v>
      </c>
      <c r="C77" t="s">
        <v>48</v>
      </c>
      <c r="D77">
        <v>52</v>
      </c>
      <c r="E77">
        <v>75</v>
      </c>
    </row>
    <row r="78" spans="1:5" x14ac:dyDescent="0.25">
      <c r="A78">
        <v>12</v>
      </c>
      <c r="B78">
        <v>25</v>
      </c>
      <c r="C78">
        <v>35</v>
      </c>
      <c r="D78">
        <v>57</v>
      </c>
      <c r="E78">
        <v>62</v>
      </c>
    </row>
    <row r="79" spans="1:5" x14ac:dyDescent="0.25">
      <c r="A79">
        <v>6</v>
      </c>
      <c r="B79">
        <v>26</v>
      </c>
      <c r="C79">
        <v>45</v>
      </c>
      <c r="D79">
        <v>50</v>
      </c>
      <c r="E79">
        <v>70</v>
      </c>
    </row>
    <row r="80" spans="1:5" x14ac:dyDescent="0.25">
      <c r="A80" t="s">
        <v>10</v>
      </c>
      <c r="B80" s="7">
        <v>10</v>
      </c>
      <c r="D80" s="144" t="s">
        <v>144</v>
      </c>
      <c r="E80" s="144"/>
    </row>
    <row r="82" spans="1:5" x14ac:dyDescent="0.25">
      <c r="A82" t="s">
        <v>0</v>
      </c>
      <c r="B82" t="s">
        <v>1</v>
      </c>
      <c r="C82" t="s">
        <v>2</v>
      </c>
      <c r="D82" t="s">
        <v>3</v>
      </c>
      <c r="E82" t="s">
        <v>4</v>
      </c>
    </row>
    <row r="83" spans="1:5" x14ac:dyDescent="0.25">
      <c r="A83">
        <v>6</v>
      </c>
      <c r="B83">
        <v>24</v>
      </c>
      <c r="C83">
        <v>36</v>
      </c>
      <c r="D83">
        <v>53</v>
      </c>
      <c r="E83">
        <v>67</v>
      </c>
    </row>
    <row r="84" spans="1:5" x14ac:dyDescent="0.25">
      <c r="A84">
        <v>2</v>
      </c>
      <c r="B84">
        <v>23</v>
      </c>
      <c r="C84">
        <v>35</v>
      </c>
      <c r="D84">
        <v>60</v>
      </c>
      <c r="E84">
        <v>71</v>
      </c>
    </row>
    <row r="85" spans="1:5" x14ac:dyDescent="0.25">
      <c r="A85">
        <v>3</v>
      </c>
      <c r="B85">
        <v>30</v>
      </c>
      <c r="C85" t="s">
        <v>48</v>
      </c>
      <c r="D85">
        <v>54</v>
      </c>
      <c r="E85">
        <v>61</v>
      </c>
    </row>
    <row r="86" spans="1:5" x14ac:dyDescent="0.25">
      <c r="A86">
        <v>7</v>
      </c>
      <c r="B86">
        <v>19</v>
      </c>
      <c r="C86">
        <v>38</v>
      </c>
      <c r="D86">
        <v>59</v>
      </c>
      <c r="E86">
        <v>72</v>
      </c>
    </row>
    <row r="87" spans="1:5" x14ac:dyDescent="0.25">
      <c r="A87">
        <v>15</v>
      </c>
      <c r="B87">
        <v>21</v>
      </c>
      <c r="C87">
        <v>33</v>
      </c>
      <c r="D87">
        <v>55</v>
      </c>
      <c r="E87">
        <v>68</v>
      </c>
    </row>
    <row r="88" spans="1:5" x14ac:dyDescent="0.25">
      <c r="A88" t="s">
        <v>10</v>
      </c>
      <c r="B88" s="7">
        <v>11</v>
      </c>
      <c r="D88" s="144" t="s">
        <v>144</v>
      </c>
      <c r="E88" s="144"/>
    </row>
    <row r="90" spans="1:5" x14ac:dyDescent="0.25">
      <c r="A90" t="s">
        <v>0</v>
      </c>
      <c r="B90" t="s">
        <v>1</v>
      </c>
      <c r="C90" t="s">
        <v>2</v>
      </c>
      <c r="D90" t="s">
        <v>3</v>
      </c>
      <c r="E90" t="s">
        <v>4</v>
      </c>
    </row>
    <row r="91" spans="1:5" x14ac:dyDescent="0.25">
      <c r="A91">
        <v>3</v>
      </c>
      <c r="B91">
        <v>23</v>
      </c>
      <c r="C91">
        <v>43</v>
      </c>
      <c r="D91">
        <v>47</v>
      </c>
      <c r="E91">
        <v>61</v>
      </c>
    </row>
    <row r="92" spans="1:5" x14ac:dyDescent="0.25">
      <c r="A92">
        <v>4</v>
      </c>
      <c r="B92">
        <v>27</v>
      </c>
      <c r="C92">
        <v>41</v>
      </c>
      <c r="D92">
        <v>60</v>
      </c>
      <c r="E92">
        <v>63</v>
      </c>
    </row>
    <row r="93" spans="1:5" x14ac:dyDescent="0.25">
      <c r="A93">
        <v>5</v>
      </c>
      <c r="B93">
        <v>28</v>
      </c>
      <c r="C93" t="s">
        <v>48</v>
      </c>
      <c r="D93">
        <v>57</v>
      </c>
      <c r="E93">
        <v>68</v>
      </c>
    </row>
    <row r="94" spans="1:5" x14ac:dyDescent="0.25">
      <c r="A94">
        <v>12</v>
      </c>
      <c r="B94">
        <v>20</v>
      </c>
      <c r="C94">
        <v>44</v>
      </c>
      <c r="D94">
        <v>56</v>
      </c>
      <c r="E94">
        <v>67</v>
      </c>
    </row>
    <row r="95" spans="1:5" x14ac:dyDescent="0.25">
      <c r="A95">
        <v>1</v>
      </c>
      <c r="B95">
        <v>30</v>
      </c>
      <c r="C95">
        <v>37</v>
      </c>
      <c r="D95">
        <v>52</v>
      </c>
      <c r="E95">
        <v>62</v>
      </c>
    </row>
    <row r="96" spans="1:5" x14ac:dyDescent="0.25">
      <c r="A96" t="s">
        <v>10</v>
      </c>
      <c r="B96" s="7">
        <v>12</v>
      </c>
      <c r="D96" s="144" t="s">
        <v>144</v>
      </c>
      <c r="E96" s="144"/>
    </row>
    <row r="98" spans="1:5" x14ac:dyDescent="0.25">
      <c r="A98" t="s">
        <v>0</v>
      </c>
      <c r="B98" t="s">
        <v>1</v>
      </c>
      <c r="C98" t="s">
        <v>2</v>
      </c>
      <c r="D98" t="s">
        <v>3</v>
      </c>
      <c r="E98" t="s">
        <v>4</v>
      </c>
    </row>
    <row r="99" spans="1:5" x14ac:dyDescent="0.25">
      <c r="A99">
        <v>5</v>
      </c>
      <c r="B99">
        <v>29</v>
      </c>
      <c r="C99">
        <v>37</v>
      </c>
      <c r="D99">
        <v>51</v>
      </c>
      <c r="E99">
        <v>65</v>
      </c>
    </row>
    <row r="100" spans="1:5" x14ac:dyDescent="0.25">
      <c r="A100">
        <v>10</v>
      </c>
      <c r="B100">
        <v>21</v>
      </c>
      <c r="C100">
        <v>34</v>
      </c>
      <c r="D100">
        <v>58</v>
      </c>
      <c r="E100">
        <v>74</v>
      </c>
    </row>
    <row r="101" spans="1:5" x14ac:dyDescent="0.25">
      <c r="A101">
        <v>13</v>
      </c>
      <c r="B101">
        <v>20</v>
      </c>
      <c r="C101" t="s">
        <v>48</v>
      </c>
      <c r="D101">
        <v>54</v>
      </c>
      <c r="E101">
        <v>64</v>
      </c>
    </row>
    <row r="102" spans="1:5" x14ac:dyDescent="0.25">
      <c r="A102">
        <v>8</v>
      </c>
      <c r="B102">
        <v>27</v>
      </c>
      <c r="C102">
        <v>44</v>
      </c>
      <c r="D102">
        <v>59</v>
      </c>
      <c r="E102">
        <v>63</v>
      </c>
    </row>
    <row r="103" spans="1:5" x14ac:dyDescent="0.25">
      <c r="A103">
        <v>3</v>
      </c>
      <c r="B103">
        <v>19</v>
      </c>
      <c r="C103">
        <v>40</v>
      </c>
      <c r="D103">
        <v>53</v>
      </c>
      <c r="E103">
        <v>66</v>
      </c>
    </row>
    <row r="104" spans="1:5" x14ac:dyDescent="0.25">
      <c r="A104" t="s">
        <v>10</v>
      </c>
      <c r="B104" s="7">
        <v>13</v>
      </c>
      <c r="D104" s="144" t="s">
        <v>144</v>
      </c>
      <c r="E104" s="144"/>
    </row>
    <row r="106" spans="1:5" x14ac:dyDescent="0.25">
      <c r="A106" t="s">
        <v>0</v>
      </c>
      <c r="B106" t="s">
        <v>1</v>
      </c>
      <c r="C106" t="s">
        <v>2</v>
      </c>
      <c r="D106" t="s">
        <v>3</v>
      </c>
      <c r="E106" t="s">
        <v>4</v>
      </c>
    </row>
    <row r="107" spans="1:5" x14ac:dyDescent="0.25">
      <c r="A107">
        <v>1</v>
      </c>
      <c r="B107">
        <v>22</v>
      </c>
      <c r="C107">
        <v>41</v>
      </c>
      <c r="D107">
        <v>54</v>
      </c>
      <c r="E107">
        <v>69</v>
      </c>
    </row>
    <row r="108" spans="1:5" x14ac:dyDescent="0.25">
      <c r="A108">
        <v>12</v>
      </c>
      <c r="B108">
        <v>28</v>
      </c>
      <c r="C108">
        <v>35</v>
      </c>
      <c r="D108">
        <v>60</v>
      </c>
      <c r="E108">
        <v>74</v>
      </c>
    </row>
    <row r="109" spans="1:5" x14ac:dyDescent="0.25">
      <c r="A109">
        <v>13</v>
      </c>
      <c r="B109">
        <v>27</v>
      </c>
      <c r="C109" t="s">
        <v>48</v>
      </c>
      <c r="D109">
        <v>49</v>
      </c>
      <c r="E109">
        <v>64</v>
      </c>
    </row>
    <row r="110" spans="1:5" x14ac:dyDescent="0.25">
      <c r="A110">
        <v>5</v>
      </c>
      <c r="B110">
        <v>17</v>
      </c>
      <c r="C110">
        <v>42</v>
      </c>
      <c r="D110">
        <v>47</v>
      </c>
      <c r="E110">
        <v>73</v>
      </c>
    </row>
    <row r="111" spans="1:5" x14ac:dyDescent="0.25">
      <c r="A111">
        <v>11</v>
      </c>
      <c r="B111">
        <v>21</v>
      </c>
      <c r="C111">
        <v>33</v>
      </c>
      <c r="D111">
        <v>55</v>
      </c>
      <c r="E111">
        <v>62</v>
      </c>
    </row>
    <row r="112" spans="1:5" x14ac:dyDescent="0.25">
      <c r="A112" t="s">
        <v>10</v>
      </c>
      <c r="B112" s="7">
        <v>14</v>
      </c>
      <c r="D112" s="144" t="s">
        <v>144</v>
      </c>
      <c r="E112" s="144"/>
    </row>
    <row r="114" spans="1:5" x14ac:dyDescent="0.25">
      <c r="A114" t="s">
        <v>0</v>
      </c>
      <c r="B114" t="s">
        <v>1</v>
      </c>
      <c r="C114" t="s">
        <v>2</v>
      </c>
      <c r="D114" t="s">
        <v>3</v>
      </c>
      <c r="E114" t="s">
        <v>4</v>
      </c>
    </row>
    <row r="115" spans="1:5" x14ac:dyDescent="0.25">
      <c r="A115">
        <v>7</v>
      </c>
      <c r="B115">
        <v>20</v>
      </c>
      <c r="C115">
        <v>32</v>
      </c>
      <c r="D115">
        <v>60</v>
      </c>
      <c r="E115">
        <v>73</v>
      </c>
    </row>
    <row r="116" spans="1:5" x14ac:dyDescent="0.25">
      <c r="A116">
        <v>12</v>
      </c>
      <c r="B116">
        <v>24</v>
      </c>
      <c r="C116">
        <v>40</v>
      </c>
      <c r="D116">
        <v>58</v>
      </c>
      <c r="E116">
        <v>66</v>
      </c>
    </row>
    <row r="117" spans="1:5" x14ac:dyDescent="0.25">
      <c r="A117">
        <v>4</v>
      </c>
      <c r="B117">
        <v>19</v>
      </c>
      <c r="C117" t="s">
        <v>48</v>
      </c>
      <c r="D117">
        <v>52</v>
      </c>
      <c r="E117">
        <v>63</v>
      </c>
    </row>
    <row r="118" spans="1:5" x14ac:dyDescent="0.25">
      <c r="A118">
        <v>6</v>
      </c>
      <c r="B118">
        <v>17</v>
      </c>
      <c r="C118">
        <v>44</v>
      </c>
      <c r="D118">
        <v>53</v>
      </c>
      <c r="E118">
        <v>65</v>
      </c>
    </row>
    <row r="119" spans="1:5" x14ac:dyDescent="0.25">
      <c r="A119">
        <v>8</v>
      </c>
      <c r="B119">
        <v>29</v>
      </c>
      <c r="C119">
        <v>34</v>
      </c>
      <c r="D119">
        <v>57</v>
      </c>
      <c r="E119">
        <v>67</v>
      </c>
    </row>
    <row r="120" spans="1:5" x14ac:dyDescent="0.25">
      <c r="A120" t="s">
        <v>10</v>
      </c>
      <c r="B120" s="7">
        <v>15</v>
      </c>
      <c r="D120" s="144" t="s">
        <v>144</v>
      </c>
      <c r="E120" s="144"/>
    </row>
    <row r="122" spans="1:5" x14ac:dyDescent="0.25">
      <c r="A122" t="s">
        <v>0</v>
      </c>
      <c r="B122" t="s">
        <v>1</v>
      </c>
      <c r="C122" t="s">
        <v>2</v>
      </c>
      <c r="D122" t="s">
        <v>3</v>
      </c>
      <c r="E122" t="s">
        <v>4</v>
      </c>
    </row>
    <row r="123" spans="1:5" x14ac:dyDescent="0.25">
      <c r="A123">
        <v>3</v>
      </c>
      <c r="B123">
        <v>23</v>
      </c>
      <c r="C123">
        <v>35</v>
      </c>
      <c r="D123">
        <v>48</v>
      </c>
      <c r="E123">
        <v>74</v>
      </c>
    </row>
    <row r="124" spans="1:5" x14ac:dyDescent="0.25">
      <c r="A124">
        <v>10</v>
      </c>
      <c r="B124">
        <v>18</v>
      </c>
      <c r="C124">
        <v>42</v>
      </c>
      <c r="D124">
        <v>47</v>
      </c>
      <c r="E124">
        <v>69</v>
      </c>
    </row>
    <row r="125" spans="1:5" x14ac:dyDescent="0.25">
      <c r="A125">
        <v>2</v>
      </c>
      <c r="B125">
        <v>30</v>
      </c>
      <c r="C125" t="s">
        <v>48</v>
      </c>
      <c r="D125">
        <v>46</v>
      </c>
      <c r="E125">
        <v>71</v>
      </c>
    </row>
    <row r="126" spans="1:5" x14ac:dyDescent="0.25">
      <c r="A126">
        <v>4</v>
      </c>
      <c r="B126">
        <v>16</v>
      </c>
      <c r="C126">
        <v>44</v>
      </c>
      <c r="D126">
        <v>51</v>
      </c>
      <c r="E126">
        <v>63</v>
      </c>
    </row>
    <row r="127" spans="1:5" x14ac:dyDescent="0.25">
      <c r="A127">
        <v>11</v>
      </c>
      <c r="B127">
        <v>22</v>
      </c>
      <c r="C127">
        <v>43</v>
      </c>
      <c r="D127">
        <v>60</v>
      </c>
      <c r="E127">
        <v>64</v>
      </c>
    </row>
    <row r="128" spans="1:5" x14ac:dyDescent="0.25">
      <c r="A128" t="s">
        <v>10</v>
      </c>
      <c r="B128" s="7">
        <v>16</v>
      </c>
      <c r="D128" s="144" t="s">
        <v>144</v>
      </c>
      <c r="E128" s="144"/>
    </row>
    <row r="130" spans="1:5" x14ac:dyDescent="0.25">
      <c r="A130" t="s">
        <v>0</v>
      </c>
      <c r="B130" t="s">
        <v>1</v>
      </c>
      <c r="C130" t="s">
        <v>2</v>
      </c>
      <c r="D130" t="s">
        <v>3</v>
      </c>
      <c r="E130" t="s">
        <v>4</v>
      </c>
    </row>
    <row r="131" spans="1:5" x14ac:dyDescent="0.25">
      <c r="A131">
        <v>1</v>
      </c>
      <c r="B131">
        <v>24</v>
      </c>
      <c r="C131">
        <v>37</v>
      </c>
      <c r="D131">
        <v>60</v>
      </c>
      <c r="E131">
        <v>63</v>
      </c>
    </row>
    <row r="132" spans="1:5" x14ac:dyDescent="0.25">
      <c r="A132">
        <v>13</v>
      </c>
      <c r="B132">
        <v>28</v>
      </c>
      <c r="C132">
        <v>39</v>
      </c>
      <c r="D132">
        <v>59</v>
      </c>
      <c r="E132">
        <v>71</v>
      </c>
    </row>
    <row r="133" spans="1:5" x14ac:dyDescent="0.25">
      <c r="A133">
        <v>12</v>
      </c>
      <c r="B133">
        <v>19</v>
      </c>
      <c r="C133" t="s">
        <v>48</v>
      </c>
      <c r="D133">
        <v>58</v>
      </c>
      <c r="E133">
        <v>61</v>
      </c>
    </row>
    <row r="134" spans="1:5" x14ac:dyDescent="0.25">
      <c r="A134">
        <v>5</v>
      </c>
      <c r="B134">
        <v>21</v>
      </c>
      <c r="C134">
        <v>31</v>
      </c>
      <c r="D134">
        <v>52</v>
      </c>
      <c r="E134">
        <v>66</v>
      </c>
    </row>
    <row r="135" spans="1:5" x14ac:dyDescent="0.25">
      <c r="A135">
        <v>7</v>
      </c>
      <c r="B135">
        <v>23</v>
      </c>
      <c r="C135">
        <v>34</v>
      </c>
      <c r="D135">
        <v>49</v>
      </c>
      <c r="E135">
        <v>62</v>
      </c>
    </row>
    <row r="136" spans="1:5" x14ac:dyDescent="0.25">
      <c r="A136" t="s">
        <v>10</v>
      </c>
      <c r="B136" s="7">
        <v>17</v>
      </c>
      <c r="D136" s="144" t="s">
        <v>144</v>
      </c>
      <c r="E136" s="144"/>
    </row>
    <row r="138" spans="1:5" x14ac:dyDescent="0.25">
      <c r="A138" t="s">
        <v>0</v>
      </c>
      <c r="B138" t="s">
        <v>1</v>
      </c>
      <c r="C138" t="s">
        <v>2</v>
      </c>
      <c r="D138" t="s">
        <v>3</v>
      </c>
      <c r="E138" t="s">
        <v>4</v>
      </c>
    </row>
    <row r="139" spans="1:5" x14ac:dyDescent="0.25">
      <c r="A139">
        <v>2</v>
      </c>
      <c r="B139">
        <v>20</v>
      </c>
      <c r="C139">
        <v>40</v>
      </c>
      <c r="D139">
        <v>49</v>
      </c>
      <c r="E139">
        <v>65</v>
      </c>
    </row>
    <row r="140" spans="1:5" x14ac:dyDescent="0.25">
      <c r="A140">
        <v>5</v>
      </c>
      <c r="B140">
        <v>21</v>
      </c>
      <c r="C140">
        <v>37</v>
      </c>
      <c r="D140">
        <v>54</v>
      </c>
      <c r="E140">
        <v>71</v>
      </c>
    </row>
    <row r="141" spans="1:5" x14ac:dyDescent="0.25">
      <c r="A141">
        <v>6</v>
      </c>
      <c r="B141">
        <v>22</v>
      </c>
      <c r="C141" t="s">
        <v>48</v>
      </c>
      <c r="D141">
        <v>57</v>
      </c>
      <c r="E141">
        <v>74</v>
      </c>
    </row>
    <row r="142" spans="1:5" x14ac:dyDescent="0.25">
      <c r="A142">
        <v>9</v>
      </c>
      <c r="B142">
        <v>28</v>
      </c>
      <c r="C142">
        <v>45</v>
      </c>
      <c r="D142">
        <v>52</v>
      </c>
      <c r="E142">
        <v>66</v>
      </c>
    </row>
    <row r="143" spans="1:5" x14ac:dyDescent="0.25">
      <c r="A143">
        <v>13</v>
      </c>
      <c r="B143">
        <v>26</v>
      </c>
      <c r="C143">
        <v>38</v>
      </c>
      <c r="D143">
        <v>59</v>
      </c>
      <c r="E143">
        <v>61</v>
      </c>
    </row>
    <row r="144" spans="1:5" x14ac:dyDescent="0.25">
      <c r="A144" t="s">
        <v>10</v>
      </c>
      <c r="B144" s="7">
        <v>18</v>
      </c>
      <c r="D144" s="144" t="s">
        <v>144</v>
      </c>
      <c r="E144" s="144"/>
    </row>
    <row r="146" spans="1:5" x14ac:dyDescent="0.25">
      <c r="A146" t="s">
        <v>0</v>
      </c>
      <c r="B146" t="s">
        <v>1</v>
      </c>
      <c r="C146" t="s">
        <v>2</v>
      </c>
      <c r="D146" t="s">
        <v>3</v>
      </c>
      <c r="E146" t="s">
        <v>4</v>
      </c>
    </row>
    <row r="147" spans="1:5" x14ac:dyDescent="0.25">
      <c r="A147">
        <v>5</v>
      </c>
      <c r="B147">
        <v>20</v>
      </c>
      <c r="C147">
        <v>39</v>
      </c>
      <c r="D147">
        <v>53</v>
      </c>
      <c r="E147">
        <v>62</v>
      </c>
    </row>
    <row r="148" spans="1:5" x14ac:dyDescent="0.25">
      <c r="A148">
        <v>15</v>
      </c>
      <c r="B148">
        <v>23</v>
      </c>
      <c r="C148">
        <v>37</v>
      </c>
      <c r="D148">
        <v>52</v>
      </c>
      <c r="E148">
        <v>63</v>
      </c>
    </row>
    <row r="149" spans="1:5" x14ac:dyDescent="0.25">
      <c r="A149">
        <v>12</v>
      </c>
      <c r="B149">
        <v>27</v>
      </c>
      <c r="C149" t="s">
        <v>48</v>
      </c>
      <c r="D149">
        <v>60</v>
      </c>
      <c r="E149">
        <v>65</v>
      </c>
    </row>
    <row r="150" spans="1:5" x14ac:dyDescent="0.25">
      <c r="A150">
        <v>9</v>
      </c>
      <c r="B150">
        <v>28</v>
      </c>
      <c r="C150">
        <v>32</v>
      </c>
      <c r="D150">
        <v>54</v>
      </c>
      <c r="E150">
        <v>61</v>
      </c>
    </row>
    <row r="151" spans="1:5" x14ac:dyDescent="0.25">
      <c r="A151">
        <v>10</v>
      </c>
      <c r="B151">
        <v>17</v>
      </c>
      <c r="C151">
        <v>41</v>
      </c>
      <c r="D151">
        <v>55</v>
      </c>
      <c r="E151">
        <v>67</v>
      </c>
    </row>
    <row r="152" spans="1:5" x14ac:dyDescent="0.25">
      <c r="A152" t="s">
        <v>10</v>
      </c>
      <c r="B152" s="7">
        <v>19</v>
      </c>
      <c r="D152" s="144" t="s">
        <v>144</v>
      </c>
      <c r="E152" s="144"/>
    </row>
    <row r="154" spans="1:5" x14ac:dyDescent="0.25">
      <c r="A154" t="s">
        <v>0</v>
      </c>
      <c r="B154" t="s">
        <v>1</v>
      </c>
      <c r="C154" t="s">
        <v>2</v>
      </c>
      <c r="D154" t="s">
        <v>3</v>
      </c>
      <c r="E154" t="s">
        <v>4</v>
      </c>
    </row>
    <row r="155" spans="1:5" x14ac:dyDescent="0.25">
      <c r="A155">
        <v>9</v>
      </c>
      <c r="B155">
        <v>25</v>
      </c>
      <c r="C155">
        <v>42</v>
      </c>
      <c r="D155">
        <v>48</v>
      </c>
      <c r="E155">
        <v>66</v>
      </c>
    </row>
    <row r="156" spans="1:5" x14ac:dyDescent="0.25">
      <c r="A156">
        <v>12</v>
      </c>
      <c r="B156">
        <v>23</v>
      </c>
      <c r="C156">
        <v>39</v>
      </c>
      <c r="D156">
        <v>46</v>
      </c>
      <c r="E156">
        <v>71</v>
      </c>
    </row>
    <row r="157" spans="1:5" x14ac:dyDescent="0.25">
      <c r="A157">
        <v>1</v>
      </c>
      <c r="B157">
        <v>24</v>
      </c>
      <c r="C157" t="s">
        <v>48</v>
      </c>
      <c r="D157">
        <v>49</v>
      </c>
      <c r="E157">
        <v>72</v>
      </c>
    </row>
    <row r="158" spans="1:5" x14ac:dyDescent="0.25">
      <c r="A158">
        <v>7</v>
      </c>
      <c r="B158">
        <v>20</v>
      </c>
      <c r="C158">
        <v>37</v>
      </c>
      <c r="D158">
        <v>57</v>
      </c>
      <c r="E158">
        <v>61</v>
      </c>
    </row>
    <row r="159" spans="1:5" x14ac:dyDescent="0.25">
      <c r="A159">
        <v>5</v>
      </c>
      <c r="B159">
        <v>29</v>
      </c>
      <c r="C159">
        <v>41</v>
      </c>
      <c r="D159">
        <v>60</v>
      </c>
      <c r="E159">
        <v>68</v>
      </c>
    </row>
    <row r="160" spans="1:5" x14ac:dyDescent="0.25">
      <c r="A160" t="s">
        <v>10</v>
      </c>
      <c r="B160" s="7">
        <v>20</v>
      </c>
      <c r="D160" s="144" t="s">
        <v>144</v>
      </c>
      <c r="E160" s="144"/>
    </row>
    <row r="162" spans="1:5" x14ac:dyDescent="0.25">
      <c r="A162" t="s">
        <v>0</v>
      </c>
      <c r="B162" t="s">
        <v>1</v>
      </c>
      <c r="C162" t="s">
        <v>2</v>
      </c>
      <c r="D162" t="s">
        <v>3</v>
      </c>
      <c r="E162" t="s">
        <v>4</v>
      </c>
    </row>
    <row r="163" spans="1:5" x14ac:dyDescent="0.25">
      <c r="A163">
        <v>4</v>
      </c>
      <c r="B163">
        <v>25</v>
      </c>
      <c r="C163">
        <v>39</v>
      </c>
      <c r="D163">
        <v>52</v>
      </c>
      <c r="E163">
        <v>67</v>
      </c>
    </row>
    <row r="164" spans="1:5" x14ac:dyDescent="0.25">
      <c r="A164">
        <v>10</v>
      </c>
      <c r="B164">
        <v>30</v>
      </c>
      <c r="C164">
        <v>43</v>
      </c>
      <c r="D164">
        <v>53</v>
      </c>
      <c r="E164">
        <v>69</v>
      </c>
    </row>
    <row r="165" spans="1:5" x14ac:dyDescent="0.25">
      <c r="A165">
        <v>14</v>
      </c>
      <c r="B165">
        <v>16</v>
      </c>
      <c r="C165" t="s">
        <v>48</v>
      </c>
      <c r="D165">
        <v>57</v>
      </c>
      <c r="E165">
        <v>72</v>
      </c>
    </row>
    <row r="166" spans="1:5" x14ac:dyDescent="0.25">
      <c r="A166">
        <v>15</v>
      </c>
      <c r="B166">
        <v>17</v>
      </c>
      <c r="C166">
        <v>31</v>
      </c>
      <c r="D166">
        <v>50</v>
      </c>
      <c r="E166">
        <v>70</v>
      </c>
    </row>
    <row r="167" spans="1:5" x14ac:dyDescent="0.25">
      <c r="A167">
        <v>1</v>
      </c>
      <c r="B167">
        <v>20</v>
      </c>
      <c r="C167">
        <v>35</v>
      </c>
      <c r="D167">
        <v>47</v>
      </c>
      <c r="E167">
        <v>73</v>
      </c>
    </row>
    <row r="168" spans="1:5" x14ac:dyDescent="0.25">
      <c r="A168" t="s">
        <v>10</v>
      </c>
      <c r="B168" s="7">
        <v>21</v>
      </c>
      <c r="D168" s="144" t="s">
        <v>144</v>
      </c>
      <c r="E168" s="144"/>
    </row>
    <row r="170" spans="1:5" x14ac:dyDescent="0.25">
      <c r="A170" t="s">
        <v>0</v>
      </c>
      <c r="B170" t="s">
        <v>1</v>
      </c>
      <c r="C170" t="s">
        <v>2</v>
      </c>
      <c r="D170" t="s">
        <v>3</v>
      </c>
      <c r="E170" t="s">
        <v>4</v>
      </c>
    </row>
    <row r="171" spans="1:5" x14ac:dyDescent="0.25">
      <c r="A171">
        <v>7</v>
      </c>
      <c r="B171">
        <v>19</v>
      </c>
      <c r="C171">
        <v>34</v>
      </c>
      <c r="D171">
        <v>57</v>
      </c>
      <c r="E171">
        <v>64</v>
      </c>
    </row>
    <row r="172" spans="1:5" x14ac:dyDescent="0.25">
      <c r="A172">
        <v>12</v>
      </c>
      <c r="B172">
        <v>30</v>
      </c>
      <c r="C172">
        <v>41</v>
      </c>
      <c r="D172">
        <v>50</v>
      </c>
      <c r="E172">
        <v>66</v>
      </c>
    </row>
    <row r="173" spans="1:5" x14ac:dyDescent="0.25">
      <c r="A173">
        <v>11</v>
      </c>
      <c r="B173">
        <v>28</v>
      </c>
      <c r="C173" t="s">
        <v>48</v>
      </c>
      <c r="D173">
        <v>58</v>
      </c>
      <c r="E173">
        <v>69</v>
      </c>
    </row>
    <row r="174" spans="1:5" x14ac:dyDescent="0.25">
      <c r="A174">
        <v>3</v>
      </c>
      <c r="B174">
        <v>18</v>
      </c>
      <c r="C174">
        <v>40</v>
      </c>
      <c r="D174">
        <v>56</v>
      </c>
      <c r="E174">
        <v>70</v>
      </c>
    </row>
    <row r="175" spans="1:5" x14ac:dyDescent="0.25">
      <c r="A175">
        <v>2</v>
      </c>
      <c r="B175">
        <v>29</v>
      </c>
      <c r="C175">
        <v>42</v>
      </c>
      <c r="D175">
        <v>59</v>
      </c>
      <c r="E175">
        <v>63</v>
      </c>
    </row>
    <row r="176" spans="1:5" x14ac:dyDescent="0.25">
      <c r="A176" t="s">
        <v>10</v>
      </c>
      <c r="B176" s="7">
        <v>22</v>
      </c>
      <c r="D176" s="144" t="s">
        <v>144</v>
      </c>
      <c r="E176" s="144"/>
    </row>
    <row r="178" spans="1:5" x14ac:dyDescent="0.25">
      <c r="A178" t="s">
        <v>0</v>
      </c>
      <c r="B178" t="s">
        <v>1</v>
      </c>
      <c r="C178" t="s">
        <v>2</v>
      </c>
      <c r="D178" t="s">
        <v>3</v>
      </c>
      <c r="E178" t="s">
        <v>4</v>
      </c>
    </row>
    <row r="179" spans="1:5" x14ac:dyDescent="0.25">
      <c r="A179">
        <v>1</v>
      </c>
      <c r="B179">
        <v>23</v>
      </c>
      <c r="C179">
        <v>41</v>
      </c>
      <c r="D179">
        <v>51</v>
      </c>
      <c r="E179">
        <v>68</v>
      </c>
    </row>
    <row r="180" spans="1:5" x14ac:dyDescent="0.25">
      <c r="A180">
        <v>10</v>
      </c>
      <c r="B180">
        <v>30</v>
      </c>
      <c r="C180">
        <v>31</v>
      </c>
      <c r="D180">
        <v>47</v>
      </c>
      <c r="E180">
        <v>63</v>
      </c>
    </row>
    <row r="181" spans="1:5" x14ac:dyDescent="0.25">
      <c r="A181">
        <v>13</v>
      </c>
      <c r="B181">
        <v>27</v>
      </c>
      <c r="C181" t="s">
        <v>48</v>
      </c>
      <c r="D181">
        <v>52</v>
      </c>
      <c r="E181">
        <v>65</v>
      </c>
    </row>
    <row r="182" spans="1:5" x14ac:dyDescent="0.25">
      <c r="A182">
        <v>7</v>
      </c>
      <c r="B182">
        <v>21</v>
      </c>
      <c r="C182">
        <v>40</v>
      </c>
      <c r="D182">
        <v>57</v>
      </c>
      <c r="E182">
        <v>62</v>
      </c>
    </row>
    <row r="183" spans="1:5" x14ac:dyDescent="0.25">
      <c r="A183">
        <v>3</v>
      </c>
      <c r="B183">
        <v>24</v>
      </c>
      <c r="C183">
        <v>44</v>
      </c>
      <c r="D183">
        <v>56</v>
      </c>
      <c r="E183">
        <v>75</v>
      </c>
    </row>
    <row r="184" spans="1:5" x14ac:dyDescent="0.25">
      <c r="A184" t="s">
        <v>10</v>
      </c>
      <c r="B184" s="7">
        <v>23</v>
      </c>
      <c r="D184" s="144" t="s">
        <v>144</v>
      </c>
      <c r="E184" s="144"/>
    </row>
    <row r="186" spans="1:5" x14ac:dyDescent="0.25">
      <c r="A186" t="s">
        <v>0</v>
      </c>
      <c r="B186" t="s">
        <v>1</v>
      </c>
      <c r="C186" t="s">
        <v>2</v>
      </c>
      <c r="D186" t="s">
        <v>3</v>
      </c>
      <c r="E186" t="s">
        <v>4</v>
      </c>
    </row>
    <row r="187" spans="1:5" x14ac:dyDescent="0.25">
      <c r="A187">
        <v>5</v>
      </c>
      <c r="B187">
        <v>20</v>
      </c>
      <c r="C187">
        <v>31</v>
      </c>
      <c r="D187">
        <v>55</v>
      </c>
      <c r="E187">
        <v>74</v>
      </c>
    </row>
    <row r="188" spans="1:5" x14ac:dyDescent="0.25">
      <c r="A188">
        <v>10</v>
      </c>
      <c r="B188">
        <v>17</v>
      </c>
      <c r="C188">
        <v>35</v>
      </c>
      <c r="D188">
        <v>60</v>
      </c>
      <c r="E188">
        <v>65</v>
      </c>
    </row>
    <row r="189" spans="1:5" x14ac:dyDescent="0.25">
      <c r="A189">
        <v>13</v>
      </c>
      <c r="B189">
        <v>23</v>
      </c>
      <c r="C189" t="s">
        <v>48</v>
      </c>
      <c r="D189">
        <v>58</v>
      </c>
      <c r="E189">
        <v>70</v>
      </c>
    </row>
    <row r="190" spans="1:5" x14ac:dyDescent="0.25">
      <c r="A190">
        <v>12</v>
      </c>
      <c r="B190">
        <v>22</v>
      </c>
      <c r="C190">
        <v>33</v>
      </c>
      <c r="D190">
        <v>54</v>
      </c>
      <c r="E190">
        <v>69</v>
      </c>
    </row>
    <row r="191" spans="1:5" x14ac:dyDescent="0.25">
      <c r="A191">
        <v>3</v>
      </c>
      <c r="B191">
        <v>24</v>
      </c>
      <c r="C191">
        <v>42</v>
      </c>
      <c r="D191">
        <v>48</v>
      </c>
      <c r="E191">
        <v>72</v>
      </c>
    </row>
    <row r="192" spans="1:5" x14ac:dyDescent="0.25">
      <c r="A192" t="s">
        <v>10</v>
      </c>
      <c r="B192" s="7">
        <v>24</v>
      </c>
      <c r="D192" s="144" t="s">
        <v>144</v>
      </c>
      <c r="E192" s="144"/>
    </row>
    <row r="194" spans="1:5" x14ac:dyDescent="0.25">
      <c r="A194" t="s">
        <v>0</v>
      </c>
      <c r="B194" t="s">
        <v>1</v>
      </c>
      <c r="C194" t="s">
        <v>2</v>
      </c>
      <c r="D194" t="s">
        <v>3</v>
      </c>
      <c r="E194" t="s">
        <v>4</v>
      </c>
    </row>
    <row r="195" spans="1:5" x14ac:dyDescent="0.25">
      <c r="A195">
        <v>11</v>
      </c>
      <c r="B195">
        <v>24</v>
      </c>
      <c r="C195">
        <v>38</v>
      </c>
      <c r="D195">
        <v>51</v>
      </c>
      <c r="E195">
        <v>67</v>
      </c>
    </row>
    <row r="196" spans="1:5" x14ac:dyDescent="0.25">
      <c r="A196">
        <v>12</v>
      </c>
      <c r="B196">
        <v>20</v>
      </c>
      <c r="C196">
        <v>39</v>
      </c>
      <c r="D196">
        <v>48</v>
      </c>
      <c r="E196">
        <v>66</v>
      </c>
    </row>
    <row r="197" spans="1:5" x14ac:dyDescent="0.25">
      <c r="A197">
        <v>4</v>
      </c>
      <c r="B197">
        <v>22</v>
      </c>
      <c r="C197" t="s">
        <v>48</v>
      </c>
      <c r="D197">
        <v>55</v>
      </c>
      <c r="E197">
        <v>71</v>
      </c>
    </row>
    <row r="198" spans="1:5" x14ac:dyDescent="0.25">
      <c r="A198">
        <v>9</v>
      </c>
      <c r="B198">
        <v>21</v>
      </c>
      <c r="C198">
        <v>37</v>
      </c>
      <c r="D198">
        <v>47</v>
      </c>
      <c r="E198">
        <v>64</v>
      </c>
    </row>
    <row r="199" spans="1:5" x14ac:dyDescent="0.25">
      <c r="A199">
        <v>8</v>
      </c>
      <c r="B199">
        <v>30</v>
      </c>
      <c r="C199">
        <v>31</v>
      </c>
      <c r="D199">
        <v>56</v>
      </c>
      <c r="E199">
        <v>61</v>
      </c>
    </row>
    <row r="200" spans="1:5" x14ac:dyDescent="0.25">
      <c r="A200" t="s">
        <v>10</v>
      </c>
      <c r="B200" s="7">
        <v>25</v>
      </c>
      <c r="D200" s="144" t="s">
        <v>144</v>
      </c>
      <c r="E200" s="144"/>
    </row>
    <row r="202" spans="1:5" x14ac:dyDescent="0.25">
      <c r="A202" t="s">
        <v>0</v>
      </c>
      <c r="B202" t="s">
        <v>1</v>
      </c>
      <c r="C202" t="s">
        <v>2</v>
      </c>
      <c r="D202" t="s">
        <v>3</v>
      </c>
      <c r="E202" t="s">
        <v>4</v>
      </c>
    </row>
    <row r="203" spans="1:5" x14ac:dyDescent="0.25">
      <c r="A203">
        <v>14</v>
      </c>
      <c r="B203">
        <v>19</v>
      </c>
      <c r="C203">
        <v>37</v>
      </c>
      <c r="D203">
        <v>54</v>
      </c>
      <c r="E203">
        <v>61</v>
      </c>
    </row>
    <row r="204" spans="1:5" x14ac:dyDescent="0.25">
      <c r="A204">
        <v>1</v>
      </c>
      <c r="B204">
        <v>23</v>
      </c>
      <c r="C204">
        <v>36</v>
      </c>
      <c r="D204">
        <v>55</v>
      </c>
      <c r="E204">
        <v>65</v>
      </c>
    </row>
    <row r="205" spans="1:5" x14ac:dyDescent="0.25">
      <c r="A205">
        <v>7</v>
      </c>
      <c r="B205">
        <v>29</v>
      </c>
      <c r="C205" t="s">
        <v>48</v>
      </c>
      <c r="D205">
        <v>47</v>
      </c>
      <c r="E205">
        <v>75</v>
      </c>
    </row>
    <row r="206" spans="1:5" x14ac:dyDescent="0.25">
      <c r="A206">
        <v>12</v>
      </c>
      <c r="B206">
        <v>28</v>
      </c>
      <c r="C206">
        <v>34</v>
      </c>
      <c r="D206">
        <v>56</v>
      </c>
      <c r="E206">
        <v>70</v>
      </c>
    </row>
    <row r="207" spans="1:5" x14ac:dyDescent="0.25">
      <c r="A207">
        <v>13</v>
      </c>
      <c r="B207">
        <v>22</v>
      </c>
      <c r="C207">
        <v>43</v>
      </c>
      <c r="D207">
        <v>49</v>
      </c>
      <c r="E207">
        <v>66</v>
      </c>
    </row>
    <row r="208" spans="1:5" x14ac:dyDescent="0.25">
      <c r="A208" t="s">
        <v>10</v>
      </c>
      <c r="B208" s="7">
        <v>26</v>
      </c>
      <c r="D208" s="144" t="s">
        <v>144</v>
      </c>
      <c r="E208" s="144"/>
    </row>
    <row r="210" spans="1:5" x14ac:dyDescent="0.25">
      <c r="A210" t="s">
        <v>0</v>
      </c>
      <c r="B210" t="s">
        <v>1</v>
      </c>
      <c r="C210" t="s">
        <v>2</v>
      </c>
      <c r="D210" t="s">
        <v>3</v>
      </c>
      <c r="E210" t="s">
        <v>4</v>
      </c>
    </row>
    <row r="211" spans="1:5" x14ac:dyDescent="0.25">
      <c r="A211">
        <v>6</v>
      </c>
      <c r="B211">
        <v>19</v>
      </c>
      <c r="C211">
        <v>31</v>
      </c>
      <c r="D211">
        <v>54</v>
      </c>
      <c r="E211">
        <v>66</v>
      </c>
    </row>
    <row r="212" spans="1:5" x14ac:dyDescent="0.25">
      <c r="A212">
        <v>5</v>
      </c>
      <c r="B212">
        <v>26</v>
      </c>
      <c r="C212">
        <v>33</v>
      </c>
      <c r="D212">
        <v>50</v>
      </c>
      <c r="E212">
        <v>61</v>
      </c>
    </row>
    <row r="213" spans="1:5" x14ac:dyDescent="0.25">
      <c r="A213">
        <v>4</v>
      </c>
      <c r="B213">
        <v>24</v>
      </c>
      <c r="C213" t="s">
        <v>48</v>
      </c>
      <c r="D213">
        <v>58</v>
      </c>
      <c r="E213">
        <v>64</v>
      </c>
    </row>
    <row r="214" spans="1:5" x14ac:dyDescent="0.25">
      <c r="A214">
        <v>7</v>
      </c>
      <c r="B214">
        <v>25</v>
      </c>
      <c r="C214">
        <v>34</v>
      </c>
      <c r="D214">
        <v>59</v>
      </c>
      <c r="E214">
        <v>63</v>
      </c>
    </row>
    <row r="215" spans="1:5" x14ac:dyDescent="0.25">
      <c r="A215">
        <v>10</v>
      </c>
      <c r="B215">
        <v>17</v>
      </c>
      <c r="C215">
        <v>36</v>
      </c>
      <c r="D215">
        <v>53</v>
      </c>
      <c r="E215">
        <v>70</v>
      </c>
    </row>
    <row r="216" spans="1:5" x14ac:dyDescent="0.25">
      <c r="A216" t="s">
        <v>10</v>
      </c>
      <c r="B216" s="7">
        <v>27</v>
      </c>
      <c r="D216" s="144" t="s">
        <v>144</v>
      </c>
      <c r="E216" s="144"/>
    </row>
    <row r="218" spans="1:5" x14ac:dyDescent="0.25">
      <c r="A218" t="s">
        <v>0</v>
      </c>
      <c r="B218" t="s">
        <v>1</v>
      </c>
      <c r="C218" t="s">
        <v>2</v>
      </c>
      <c r="D218" t="s">
        <v>3</v>
      </c>
      <c r="E218" t="s">
        <v>4</v>
      </c>
    </row>
    <row r="219" spans="1:5" x14ac:dyDescent="0.25">
      <c r="A219">
        <v>15</v>
      </c>
      <c r="B219">
        <v>24</v>
      </c>
      <c r="C219">
        <v>36</v>
      </c>
      <c r="D219">
        <v>51</v>
      </c>
      <c r="E219">
        <v>74</v>
      </c>
    </row>
    <row r="220" spans="1:5" x14ac:dyDescent="0.25">
      <c r="A220">
        <v>5</v>
      </c>
      <c r="B220">
        <v>25</v>
      </c>
      <c r="C220">
        <v>43</v>
      </c>
      <c r="D220">
        <v>58</v>
      </c>
      <c r="E220">
        <v>64</v>
      </c>
    </row>
    <row r="221" spans="1:5" x14ac:dyDescent="0.25">
      <c r="A221">
        <v>4</v>
      </c>
      <c r="B221">
        <v>26</v>
      </c>
      <c r="C221" t="s">
        <v>48</v>
      </c>
      <c r="D221">
        <v>52</v>
      </c>
      <c r="E221">
        <v>75</v>
      </c>
    </row>
    <row r="222" spans="1:5" x14ac:dyDescent="0.25">
      <c r="A222">
        <v>14</v>
      </c>
      <c r="B222">
        <v>28</v>
      </c>
      <c r="C222">
        <v>35</v>
      </c>
      <c r="D222">
        <v>49</v>
      </c>
      <c r="E222">
        <v>68</v>
      </c>
    </row>
    <row r="223" spans="1:5" x14ac:dyDescent="0.25">
      <c r="A223">
        <v>2</v>
      </c>
      <c r="B223">
        <v>17</v>
      </c>
      <c r="C223">
        <v>41</v>
      </c>
      <c r="D223">
        <v>56</v>
      </c>
      <c r="E223">
        <v>70</v>
      </c>
    </row>
    <row r="224" spans="1:5" x14ac:dyDescent="0.25">
      <c r="A224" t="s">
        <v>10</v>
      </c>
      <c r="B224" s="7">
        <v>28</v>
      </c>
      <c r="D224" s="144" t="s">
        <v>144</v>
      </c>
      <c r="E224" s="144"/>
    </row>
    <row r="226" spans="1:5" x14ac:dyDescent="0.25">
      <c r="A226" t="s">
        <v>0</v>
      </c>
      <c r="B226" t="s">
        <v>1</v>
      </c>
      <c r="C226" t="s">
        <v>2</v>
      </c>
      <c r="D226" t="s">
        <v>3</v>
      </c>
      <c r="E226" t="s">
        <v>4</v>
      </c>
    </row>
    <row r="227" spans="1:5" x14ac:dyDescent="0.25">
      <c r="A227">
        <v>7</v>
      </c>
      <c r="B227">
        <v>16</v>
      </c>
      <c r="C227">
        <v>45</v>
      </c>
      <c r="D227">
        <v>46</v>
      </c>
      <c r="E227">
        <v>65</v>
      </c>
    </row>
    <row r="228" spans="1:5" x14ac:dyDescent="0.25">
      <c r="A228">
        <v>3</v>
      </c>
      <c r="B228">
        <v>23</v>
      </c>
      <c r="C228">
        <v>31</v>
      </c>
      <c r="D228">
        <v>56</v>
      </c>
      <c r="E228">
        <v>66</v>
      </c>
    </row>
    <row r="229" spans="1:5" x14ac:dyDescent="0.25">
      <c r="A229">
        <v>10</v>
      </c>
      <c r="B229">
        <v>21</v>
      </c>
      <c r="C229" t="s">
        <v>48</v>
      </c>
      <c r="D229">
        <v>50</v>
      </c>
      <c r="E229">
        <v>64</v>
      </c>
    </row>
    <row r="230" spans="1:5" x14ac:dyDescent="0.25">
      <c r="A230">
        <v>13</v>
      </c>
      <c r="B230">
        <v>22</v>
      </c>
      <c r="C230">
        <v>40</v>
      </c>
      <c r="D230">
        <v>60</v>
      </c>
      <c r="E230">
        <v>69</v>
      </c>
    </row>
    <row r="231" spans="1:5" x14ac:dyDescent="0.25">
      <c r="A231">
        <v>6</v>
      </c>
      <c r="B231">
        <v>20</v>
      </c>
      <c r="C231">
        <v>38</v>
      </c>
      <c r="D231">
        <v>51</v>
      </c>
      <c r="E231">
        <v>71</v>
      </c>
    </row>
    <row r="232" spans="1:5" x14ac:dyDescent="0.25">
      <c r="A232" t="s">
        <v>10</v>
      </c>
      <c r="B232" s="7">
        <v>29</v>
      </c>
      <c r="D232" s="144" t="s">
        <v>144</v>
      </c>
      <c r="E232" s="144"/>
    </row>
    <row r="234" spans="1:5" x14ac:dyDescent="0.25">
      <c r="A234" t="s">
        <v>0</v>
      </c>
      <c r="B234" t="s">
        <v>1</v>
      </c>
      <c r="C234" t="s">
        <v>2</v>
      </c>
      <c r="D234" t="s">
        <v>3</v>
      </c>
      <c r="E234" t="s">
        <v>4</v>
      </c>
    </row>
    <row r="235" spans="1:5" x14ac:dyDescent="0.25">
      <c r="A235">
        <v>5</v>
      </c>
      <c r="B235">
        <v>28</v>
      </c>
      <c r="C235">
        <v>38</v>
      </c>
      <c r="D235">
        <v>54</v>
      </c>
      <c r="E235">
        <v>72</v>
      </c>
    </row>
    <row r="236" spans="1:5" x14ac:dyDescent="0.25">
      <c r="A236">
        <v>9</v>
      </c>
      <c r="B236">
        <v>27</v>
      </c>
      <c r="C236">
        <v>32</v>
      </c>
      <c r="D236">
        <v>56</v>
      </c>
      <c r="E236">
        <v>67</v>
      </c>
    </row>
    <row r="237" spans="1:5" x14ac:dyDescent="0.25">
      <c r="A237">
        <v>15</v>
      </c>
      <c r="B237">
        <v>22</v>
      </c>
      <c r="C237" t="s">
        <v>48</v>
      </c>
      <c r="D237">
        <v>47</v>
      </c>
      <c r="E237">
        <v>62</v>
      </c>
    </row>
    <row r="238" spans="1:5" x14ac:dyDescent="0.25">
      <c r="A238">
        <v>14</v>
      </c>
      <c r="B238">
        <v>25</v>
      </c>
      <c r="C238">
        <v>45</v>
      </c>
      <c r="D238">
        <v>55</v>
      </c>
      <c r="E238">
        <v>68</v>
      </c>
    </row>
    <row r="239" spans="1:5" x14ac:dyDescent="0.25">
      <c r="A239">
        <v>4</v>
      </c>
      <c r="B239">
        <v>23</v>
      </c>
      <c r="C239">
        <v>33</v>
      </c>
      <c r="D239">
        <v>57</v>
      </c>
      <c r="E239">
        <v>69</v>
      </c>
    </row>
    <row r="240" spans="1:5" x14ac:dyDescent="0.25">
      <c r="A240" t="s">
        <v>10</v>
      </c>
      <c r="B240" s="7">
        <v>30</v>
      </c>
      <c r="D240" s="144" t="s">
        <v>144</v>
      </c>
      <c r="E240" s="144"/>
    </row>
    <row r="242" spans="1:5" x14ac:dyDescent="0.25">
      <c r="A242" t="s">
        <v>0</v>
      </c>
      <c r="B242" t="s">
        <v>1</v>
      </c>
      <c r="C242" t="s">
        <v>2</v>
      </c>
      <c r="D242" t="s">
        <v>3</v>
      </c>
      <c r="E242" t="s">
        <v>4</v>
      </c>
    </row>
    <row r="243" spans="1:5" x14ac:dyDescent="0.25">
      <c r="A243">
        <v>1</v>
      </c>
      <c r="B243">
        <v>30</v>
      </c>
      <c r="C243">
        <v>31</v>
      </c>
      <c r="D243">
        <v>48</v>
      </c>
      <c r="E243">
        <v>70</v>
      </c>
    </row>
    <row r="244" spans="1:5" x14ac:dyDescent="0.25">
      <c r="A244">
        <v>7</v>
      </c>
      <c r="B244">
        <v>25</v>
      </c>
      <c r="C244">
        <v>37</v>
      </c>
      <c r="D244">
        <v>53</v>
      </c>
      <c r="E244">
        <v>66</v>
      </c>
    </row>
    <row r="245" spans="1:5" x14ac:dyDescent="0.25">
      <c r="A245">
        <v>2</v>
      </c>
      <c r="B245">
        <v>20</v>
      </c>
      <c r="C245" t="s">
        <v>48</v>
      </c>
      <c r="D245">
        <v>51</v>
      </c>
      <c r="E245">
        <v>69</v>
      </c>
    </row>
    <row r="246" spans="1:5" x14ac:dyDescent="0.25">
      <c r="A246">
        <v>3</v>
      </c>
      <c r="B246">
        <v>22</v>
      </c>
      <c r="C246">
        <v>45</v>
      </c>
      <c r="D246">
        <v>49</v>
      </c>
      <c r="E246">
        <v>74</v>
      </c>
    </row>
    <row r="247" spans="1:5" x14ac:dyDescent="0.25">
      <c r="A247">
        <v>5</v>
      </c>
      <c r="B247">
        <v>23</v>
      </c>
      <c r="C247">
        <v>35</v>
      </c>
      <c r="D247">
        <v>47</v>
      </c>
      <c r="E247">
        <v>67</v>
      </c>
    </row>
    <row r="248" spans="1:5" x14ac:dyDescent="0.25">
      <c r="A248" t="s">
        <v>10</v>
      </c>
      <c r="B248" s="7">
        <v>31</v>
      </c>
      <c r="D248" s="144" t="s">
        <v>144</v>
      </c>
      <c r="E248" s="144"/>
    </row>
    <row r="250" spans="1:5" x14ac:dyDescent="0.25">
      <c r="A250" t="s">
        <v>0</v>
      </c>
      <c r="B250" t="s">
        <v>1</v>
      </c>
      <c r="C250" t="s">
        <v>2</v>
      </c>
      <c r="D250" t="s">
        <v>3</v>
      </c>
      <c r="E250" t="s">
        <v>4</v>
      </c>
    </row>
    <row r="251" spans="1:5" x14ac:dyDescent="0.25">
      <c r="A251">
        <v>9</v>
      </c>
      <c r="B251">
        <v>18</v>
      </c>
      <c r="C251">
        <v>43</v>
      </c>
      <c r="D251">
        <v>55</v>
      </c>
      <c r="E251">
        <v>64</v>
      </c>
    </row>
    <row r="252" spans="1:5" x14ac:dyDescent="0.25">
      <c r="A252">
        <v>6</v>
      </c>
      <c r="B252">
        <v>27</v>
      </c>
      <c r="C252">
        <v>38</v>
      </c>
      <c r="D252">
        <v>50</v>
      </c>
      <c r="E252">
        <v>74</v>
      </c>
    </row>
    <row r="253" spans="1:5" x14ac:dyDescent="0.25">
      <c r="A253">
        <v>1</v>
      </c>
      <c r="B253">
        <v>19</v>
      </c>
      <c r="C253" t="s">
        <v>48</v>
      </c>
      <c r="D253">
        <v>56</v>
      </c>
      <c r="E253">
        <v>63</v>
      </c>
    </row>
    <row r="254" spans="1:5" x14ac:dyDescent="0.25">
      <c r="A254">
        <v>2</v>
      </c>
      <c r="B254">
        <v>16</v>
      </c>
      <c r="C254">
        <v>45</v>
      </c>
      <c r="D254">
        <v>52</v>
      </c>
      <c r="E254">
        <v>67</v>
      </c>
    </row>
    <row r="255" spans="1:5" x14ac:dyDescent="0.25">
      <c r="A255">
        <v>3</v>
      </c>
      <c r="B255">
        <v>26</v>
      </c>
      <c r="C255">
        <v>32</v>
      </c>
      <c r="D255">
        <v>51</v>
      </c>
      <c r="E255">
        <v>70</v>
      </c>
    </row>
    <row r="256" spans="1:5" x14ac:dyDescent="0.25">
      <c r="A256" t="s">
        <v>10</v>
      </c>
      <c r="B256" s="7">
        <v>32</v>
      </c>
      <c r="D256" s="144" t="s">
        <v>144</v>
      </c>
      <c r="E256" s="144"/>
    </row>
    <row r="258" spans="1:5" x14ac:dyDescent="0.25">
      <c r="A258" t="s">
        <v>0</v>
      </c>
      <c r="B258" t="s">
        <v>1</v>
      </c>
      <c r="C258" t="s">
        <v>2</v>
      </c>
      <c r="D258" t="s">
        <v>3</v>
      </c>
      <c r="E258" t="s">
        <v>4</v>
      </c>
    </row>
    <row r="259" spans="1:5" x14ac:dyDescent="0.25">
      <c r="A259">
        <v>9</v>
      </c>
      <c r="B259">
        <v>27</v>
      </c>
      <c r="C259">
        <v>33</v>
      </c>
      <c r="D259">
        <v>60</v>
      </c>
      <c r="E259">
        <v>61</v>
      </c>
    </row>
    <row r="260" spans="1:5" x14ac:dyDescent="0.25">
      <c r="A260">
        <v>11</v>
      </c>
      <c r="B260">
        <v>29</v>
      </c>
      <c r="C260">
        <v>37</v>
      </c>
      <c r="D260">
        <v>54</v>
      </c>
      <c r="E260">
        <v>72</v>
      </c>
    </row>
    <row r="261" spans="1:5" x14ac:dyDescent="0.25">
      <c r="A261">
        <v>2</v>
      </c>
      <c r="B261">
        <v>20</v>
      </c>
      <c r="C261" t="s">
        <v>48</v>
      </c>
      <c r="D261">
        <v>53</v>
      </c>
      <c r="E261">
        <v>71</v>
      </c>
    </row>
    <row r="262" spans="1:5" x14ac:dyDescent="0.25">
      <c r="A262">
        <v>5</v>
      </c>
      <c r="B262">
        <v>19</v>
      </c>
      <c r="C262">
        <v>36</v>
      </c>
      <c r="D262">
        <v>48</v>
      </c>
      <c r="E262">
        <v>64</v>
      </c>
    </row>
    <row r="263" spans="1:5" x14ac:dyDescent="0.25">
      <c r="A263">
        <v>1</v>
      </c>
      <c r="B263">
        <v>30</v>
      </c>
      <c r="C263">
        <v>35</v>
      </c>
      <c r="D263">
        <v>59</v>
      </c>
      <c r="E263">
        <v>75</v>
      </c>
    </row>
    <row r="264" spans="1:5" x14ac:dyDescent="0.25">
      <c r="A264" t="s">
        <v>10</v>
      </c>
      <c r="B264" s="7">
        <v>33</v>
      </c>
      <c r="D264" s="144" t="s">
        <v>144</v>
      </c>
      <c r="E264" s="144"/>
    </row>
    <row r="266" spans="1:5" x14ac:dyDescent="0.25">
      <c r="A266" t="s">
        <v>0</v>
      </c>
      <c r="B266" t="s">
        <v>1</v>
      </c>
      <c r="C266" t="s">
        <v>2</v>
      </c>
      <c r="D266" t="s">
        <v>3</v>
      </c>
      <c r="E266" t="s">
        <v>4</v>
      </c>
    </row>
    <row r="267" spans="1:5" x14ac:dyDescent="0.25">
      <c r="A267">
        <v>8</v>
      </c>
      <c r="B267">
        <v>24</v>
      </c>
      <c r="C267">
        <v>33</v>
      </c>
      <c r="D267">
        <v>60</v>
      </c>
      <c r="E267">
        <v>64</v>
      </c>
    </row>
    <row r="268" spans="1:5" x14ac:dyDescent="0.25">
      <c r="A268">
        <v>11</v>
      </c>
      <c r="B268">
        <v>22</v>
      </c>
      <c r="C268">
        <v>32</v>
      </c>
      <c r="D268">
        <v>49</v>
      </c>
      <c r="E268">
        <v>73</v>
      </c>
    </row>
    <row r="269" spans="1:5" x14ac:dyDescent="0.25">
      <c r="A269">
        <v>6</v>
      </c>
      <c r="B269">
        <v>25</v>
      </c>
      <c r="C269" t="s">
        <v>48</v>
      </c>
      <c r="D269">
        <v>51</v>
      </c>
      <c r="E269">
        <v>62</v>
      </c>
    </row>
    <row r="270" spans="1:5" x14ac:dyDescent="0.25">
      <c r="A270">
        <v>4</v>
      </c>
      <c r="B270">
        <v>27</v>
      </c>
      <c r="C270">
        <v>31</v>
      </c>
      <c r="D270">
        <v>59</v>
      </c>
      <c r="E270">
        <v>75</v>
      </c>
    </row>
    <row r="271" spans="1:5" x14ac:dyDescent="0.25">
      <c r="A271">
        <v>10</v>
      </c>
      <c r="B271">
        <v>16</v>
      </c>
      <c r="C271">
        <v>39</v>
      </c>
      <c r="D271">
        <v>53</v>
      </c>
      <c r="E271">
        <v>70</v>
      </c>
    </row>
    <row r="272" spans="1:5" x14ac:dyDescent="0.25">
      <c r="A272" t="s">
        <v>10</v>
      </c>
      <c r="B272" s="7">
        <v>34</v>
      </c>
      <c r="D272" s="144" t="s">
        <v>144</v>
      </c>
      <c r="E272" s="144"/>
    </row>
    <row r="274" spans="1:5" x14ac:dyDescent="0.25">
      <c r="A274" t="s">
        <v>0</v>
      </c>
      <c r="B274" t="s">
        <v>1</v>
      </c>
      <c r="C274" t="s">
        <v>2</v>
      </c>
      <c r="D274" t="s">
        <v>3</v>
      </c>
      <c r="E274" t="s">
        <v>4</v>
      </c>
    </row>
    <row r="275" spans="1:5" x14ac:dyDescent="0.25">
      <c r="A275">
        <v>10</v>
      </c>
      <c r="B275">
        <v>18</v>
      </c>
      <c r="C275">
        <v>44</v>
      </c>
      <c r="D275">
        <v>52</v>
      </c>
      <c r="E275">
        <v>67</v>
      </c>
    </row>
    <row r="276" spans="1:5" x14ac:dyDescent="0.25">
      <c r="A276">
        <v>15</v>
      </c>
      <c r="B276">
        <v>19</v>
      </c>
      <c r="C276">
        <v>39</v>
      </c>
      <c r="D276">
        <v>57</v>
      </c>
      <c r="E276">
        <v>66</v>
      </c>
    </row>
    <row r="277" spans="1:5" x14ac:dyDescent="0.25">
      <c r="A277">
        <v>7</v>
      </c>
      <c r="B277">
        <v>25</v>
      </c>
      <c r="C277" t="s">
        <v>48</v>
      </c>
      <c r="D277">
        <v>54</v>
      </c>
      <c r="E277">
        <v>70</v>
      </c>
    </row>
    <row r="278" spans="1:5" x14ac:dyDescent="0.25">
      <c r="A278">
        <v>1</v>
      </c>
      <c r="B278">
        <v>21</v>
      </c>
      <c r="C278">
        <v>45</v>
      </c>
      <c r="D278">
        <v>46</v>
      </c>
      <c r="E278">
        <v>63</v>
      </c>
    </row>
    <row r="279" spans="1:5" x14ac:dyDescent="0.25">
      <c r="A279">
        <v>14</v>
      </c>
      <c r="B279">
        <v>23</v>
      </c>
      <c r="C279">
        <v>42</v>
      </c>
      <c r="D279">
        <v>51</v>
      </c>
      <c r="E279">
        <v>75</v>
      </c>
    </row>
    <row r="280" spans="1:5" x14ac:dyDescent="0.25">
      <c r="A280" t="s">
        <v>10</v>
      </c>
      <c r="B280" s="7">
        <v>35</v>
      </c>
      <c r="D280" s="144" t="s">
        <v>144</v>
      </c>
      <c r="E280" s="144"/>
    </row>
    <row r="282" spans="1:5" x14ac:dyDescent="0.25">
      <c r="A282" t="s">
        <v>0</v>
      </c>
      <c r="B282" t="s">
        <v>1</v>
      </c>
      <c r="C282" t="s">
        <v>2</v>
      </c>
      <c r="D282" t="s">
        <v>3</v>
      </c>
      <c r="E282" t="s">
        <v>4</v>
      </c>
    </row>
    <row r="283" spans="1:5" x14ac:dyDescent="0.25">
      <c r="A283">
        <v>5</v>
      </c>
      <c r="B283">
        <v>27</v>
      </c>
      <c r="C283">
        <v>44</v>
      </c>
      <c r="D283">
        <v>58</v>
      </c>
      <c r="E283">
        <v>70</v>
      </c>
    </row>
    <row r="284" spans="1:5" x14ac:dyDescent="0.25">
      <c r="A284">
        <v>1</v>
      </c>
      <c r="B284">
        <v>29</v>
      </c>
      <c r="C284">
        <v>38</v>
      </c>
      <c r="D284">
        <v>56</v>
      </c>
      <c r="E284">
        <v>74</v>
      </c>
    </row>
    <row r="285" spans="1:5" x14ac:dyDescent="0.25">
      <c r="A285">
        <v>13</v>
      </c>
      <c r="B285">
        <v>30</v>
      </c>
      <c r="C285" t="s">
        <v>48</v>
      </c>
      <c r="D285">
        <v>59</v>
      </c>
      <c r="E285">
        <v>73</v>
      </c>
    </row>
    <row r="286" spans="1:5" x14ac:dyDescent="0.25">
      <c r="A286">
        <v>11</v>
      </c>
      <c r="B286">
        <v>20</v>
      </c>
      <c r="C286">
        <v>39</v>
      </c>
      <c r="D286">
        <v>48</v>
      </c>
      <c r="E286">
        <v>72</v>
      </c>
    </row>
    <row r="287" spans="1:5" x14ac:dyDescent="0.25">
      <c r="A287">
        <v>4</v>
      </c>
      <c r="B287">
        <v>22</v>
      </c>
      <c r="C287">
        <v>37</v>
      </c>
      <c r="D287">
        <v>57</v>
      </c>
      <c r="E287">
        <v>68</v>
      </c>
    </row>
    <row r="288" spans="1:5" x14ac:dyDescent="0.25">
      <c r="A288" t="s">
        <v>10</v>
      </c>
      <c r="B288" s="7">
        <v>36</v>
      </c>
      <c r="D288" s="144" t="s">
        <v>144</v>
      </c>
      <c r="E288" s="144"/>
    </row>
    <row r="290" spans="1:5" x14ac:dyDescent="0.25">
      <c r="A290" t="s">
        <v>0</v>
      </c>
      <c r="B290" t="s">
        <v>1</v>
      </c>
      <c r="C290" t="s">
        <v>2</v>
      </c>
      <c r="D290" t="s">
        <v>3</v>
      </c>
      <c r="E290" t="s">
        <v>4</v>
      </c>
    </row>
    <row r="291" spans="1:5" x14ac:dyDescent="0.25">
      <c r="A291">
        <v>12</v>
      </c>
      <c r="B291">
        <v>29</v>
      </c>
      <c r="C291">
        <v>45</v>
      </c>
      <c r="D291">
        <v>47</v>
      </c>
      <c r="E291">
        <v>74</v>
      </c>
    </row>
    <row r="292" spans="1:5" x14ac:dyDescent="0.25">
      <c r="A292">
        <v>9</v>
      </c>
      <c r="B292">
        <v>28</v>
      </c>
      <c r="C292">
        <v>37</v>
      </c>
      <c r="D292">
        <v>59</v>
      </c>
      <c r="E292">
        <v>61</v>
      </c>
    </row>
    <row r="293" spans="1:5" x14ac:dyDescent="0.25">
      <c r="A293">
        <v>3</v>
      </c>
      <c r="B293">
        <v>21</v>
      </c>
      <c r="C293" t="s">
        <v>48</v>
      </c>
      <c r="D293">
        <v>54</v>
      </c>
      <c r="E293">
        <v>73</v>
      </c>
    </row>
    <row r="294" spans="1:5" x14ac:dyDescent="0.25">
      <c r="A294">
        <v>5</v>
      </c>
      <c r="B294">
        <v>30</v>
      </c>
      <c r="C294">
        <v>42</v>
      </c>
      <c r="D294">
        <v>58</v>
      </c>
      <c r="E294">
        <v>64</v>
      </c>
    </row>
    <row r="295" spans="1:5" x14ac:dyDescent="0.25">
      <c r="A295">
        <v>8</v>
      </c>
      <c r="B295">
        <v>23</v>
      </c>
      <c r="C295">
        <v>35</v>
      </c>
      <c r="D295">
        <v>57</v>
      </c>
      <c r="E295">
        <v>65</v>
      </c>
    </row>
    <row r="296" spans="1:5" x14ac:dyDescent="0.25">
      <c r="A296" t="s">
        <v>10</v>
      </c>
      <c r="B296" s="7">
        <v>37</v>
      </c>
      <c r="D296" s="144" t="s">
        <v>144</v>
      </c>
      <c r="E296" s="144"/>
    </row>
    <row r="298" spans="1:5" x14ac:dyDescent="0.25">
      <c r="A298" t="s">
        <v>0</v>
      </c>
      <c r="B298" t="s">
        <v>1</v>
      </c>
      <c r="C298" t="s">
        <v>2</v>
      </c>
      <c r="D298" t="s">
        <v>3</v>
      </c>
      <c r="E298" t="s">
        <v>4</v>
      </c>
    </row>
    <row r="299" spans="1:5" x14ac:dyDescent="0.25">
      <c r="A299">
        <v>1</v>
      </c>
      <c r="B299">
        <v>21</v>
      </c>
      <c r="C299">
        <v>43</v>
      </c>
      <c r="D299">
        <v>52</v>
      </c>
      <c r="E299">
        <v>72</v>
      </c>
    </row>
    <row r="300" spans="1:5" x14ac:dyDescent="0.25">
      <c r="A300">
        <v>14</v>
      </c>
      <c r="B300">
        <v>19</v>
      </c>
      <c r="C300">
        <v>32</v>
      </c>
      <c r="D300">
        <v>50</v>
      </c>
      <c r="E300">
        <v>73</v>
      </c>
    </row>
    <row r="301" spans="1:5" x14ac:dyDescent="0.25">
      <c r="A301">
        <v>15</v>
      </c>
      <c r="B301">
        <v>17</v>
      </c>
      <c r="C301" t="s">
        <v>48</v>
      </c>
      <c r="D301">
        <v>58</v>
      </c>
      <c r="E301">
        <v>70</v>
      </c>
    </row>
    <row r="302" spans="1:5" x14ac:dyDescent="0.25">
      <c r="A302">
        <v>4</v>
      </c>
      <c r="B302">
        <v>25</v>
      </c>
      <c r="C302">
        <v>34</v>
      </c>
      <c r="D302">
        <v>60</v>
      </c>
      <c r="E302">
        <v>66</v>
      </c>
    </row>
    <row r="303" spans="1:5" x14ac:dyDescent="0.25">
      <c r="A303">
        <v>9</v>
      </c>
      <c r="B303">
        <v>24</v>
      </c>
      <c r="C303">
        <v>40</v>
      </c>
      <c r="D303">
        <v>51</v>
      </c>
      <c r="E303">
        <v>69</v>
      </c>
    </row>
    <row r="304" spans="1:5" x14ac:dyDescent="0.25">
      <c r="A304" t="s">
        <v>10</v>
      </c>
      <c r="B304" s="7">
        <v>38</v>
      </c>
      <c r="D304" s="144" t="s">
        <v>144</v>
      </c>
      <c r="E304" s="144"/>
    </row>
    <row r="306" spans="1:5" x14ac:dyDescent="0.25">
      <c r="A306" t="s">
        <v>0</v>
      </c>
      <c r="B306" t="s">
        <v>1</v>
      </c>
      <c r="C306" t="s">
        <v>2</v>
      </c>
      <c r="D306" t="s">
        <v>3</v>
      </c>
      <c r="E306" t="s">
        <v>4</v>
      </c>
    </row>
    <row r="307" spans="1:5" x14ac:dyDescent="0.25">
      <c r="A307">
        <v>10</v>
      </c>
      <c r="B307">
        <v>20</v>
      </c>
      <c r="C307">
        <v>34</v>
      </c>
      <c r="D307">
        <v>56</v>
      </c>
      <c r="E307">
        <v>70</v>
      </c>
    </row>
    <row r="308" spans="1:5" x14ac:dyDescent="0.25">
      <c r="A308">
        <v>9</v>
      </c>
      <c r="B308">
        <v>22</v>
      </c>
      <c r="C308">
        <v>31</v>
      </c>
      <c r="D308">
        <v>49</v>
      </c>
      <c r="E308">
        <v>62</v>
      </c>
    </row>
    <row r="309" spans="1:5" x14ac:dyDescent="0.25">
      <c r="A309">
        <v>1</v>
      </c>
      <c r="B309">
        <v>28</v>
      </c>
      <c r="C309" t="s">
        <v>48</v>
      </c>
      <c r="D309">
        <v>58</v>
      </c>
      <c r="E309">
        <v>75</v>
      </c>
    </row>
    <row r="310" spans="1:5" x14ac:dyDescent="0.25">
      <c r="A310">
        <v>13</v>
      </c>
      <c r="B310">
        <v>16</v>
      </c>
      <c r="C310">
        <v>42</v>
      </c>
      <c r="D310">
        <v>53</v>
      </c>
      <c r="E310">
        <v>66</v>
      </c>
    </row>
    <row r="311" spans="1:5" x14ac:dyDescent="0.25">
      <c r="A311">
        <v>3</v>
      </c>
      <c r="B311">
        <v>29</v>
      </c>
      <c r="C311">
        <v>33</v>
      </c>
      <c r="D311">
        <v>55</v>
      </c>
      <c r="E311">
        <v>61</v>
      </c>
    </row>
    <row r="312" spans="1:5" x14ac:dyDescent="0.25">
      <c r="A312" t="s">
        <v>10</v>
      </c>
      <c r="B312" s="7">
        <v>39</v>
      </c>
      <c r="D312" s="144" t="s">
        <v>144</v>
      </c>
      <c r="E312" s="144"/>
    </row>
    <row r="314" spans="1:5" x14ac:dyDescent="0.25">
      <c r="A314" t="s">
        <v>0</v>
      </c>
      <c r="B314" t="s">
        <v>1</v>
      </c>
      <c r="C314" t="s">
        <v>2</v>
      </c>
      <c r="D314" t="s">
        <v>3</v>
      </c>
      <c r="E314" t="s">
        <v>4</v>
      </c>
    </row>
    <row r="315" spans="1:5" x14ac:dyDescent="0.25">
      <c r="A315">
        <v>14</v>
      </c>
      <c r="B315">
        <v>16</v>
      </c>
      <c r="C315">
        <v>33</v>
      </c>
      <c r="D315">
        <v>52</v>
      </c>
      <c r="E315">
        <v>72</v>
      </c>
    </row>
    <row r="316" spans="1:5" x14ac:dyDescent="0.25">
      <c r="A316">
        <v>8</v>
      </c>
      <c r="B316">
        <v>28</v>
      </c>
      <c r="C316">
        <v>41</v>
      </c>
      <c r="D316">
        <v>57</v>
      </c>
      <c r="E316">
        <v>65</v>
      </c>
    </row>
    <row r="317" spans="1:5" x14ac:dyDescent="0.25">
      <c r="A317">
        <v>7</v>
      </c>
      <c r="B317">
        <v>23</v>
      </c>
      <c r="C317" t="s">
        <v>48</v>
      </c>
      <c r="D317">
        <v>47</v>
      </c>
      <c r="E317">
        <v>62</v>
      </c>
    </row>
    <row r="318" spans="1:5" x14ac:dyDescent="0.25">
      <c r="A318">
        <v>4</v>
      </c>
      <c r="B318">
        <v>24</v>
      </c>
      <c r="C318">
        <v>34</v>
      </c>
      <c r="D318">
        <v>58</v>
      </c>
      <c r="E318">
        <v>70</v>
      </c>
    </row>
    <row r="319" spans="1:5" x14ac:dyDescent="0.25">
      <c r="A319">
        <v>9</v>
      </c>
      <c r="B319">
        <v>21</v>
      </c>
      <c r="C319">
        <v>35</v>
      </c>
      <c r="D319">
        <v>54</v>
      </c>
      <c r="E319">
        <v>68</v>
      </c>
    </row>
    <row r="320" spans="1:5" x14ac:dyDescent="0.25">
      <c r="A320" t="s">
        <v>10</v>
      </c>
      <c r="B320" s="7">
        <v>40</v>
      </c>
      <c r="D320" s="144" t="s">
        <v>144</v>
      </c>
      <c r="E320" s="144"/>
    </row>
    <row r="322" spans="1:5" x14ac:dyDescent="0.25">
      <c r="A322" t="s">
        <v>0</v>
      </c>
      <c r="B322" t="s">
        <v>1</v>
      </c>
      <c r="C322" t="s">
        <v>2</v>
      </c>
      <c r="D322" t="s">
        <v>3</v>
      </c>
      <c r="E322" t="s">
        <v>4</v>
      </c>
    </row>
    <row r="323" spans="1:5" x14ac:dyDescent="0.25">
      <c r="A323">
        <v>11</v>
      </c>
      <c r="B323">
        <v>21</v>
      </c>
      <c r="C323">
        <v>42</v>
      </c>
      <c r="D323">
        <v>53</v>
      </c>
      <c r="E323">
        <v>72</v>
      </c>
    </row>
    <row r="324" spans="1:5" x14ac:dyDescent="0.25">
      <c r="A324">
        <v>6</v>
      </c>
      <c r="B324">
        <v>28</v>
      </c>
      <c r="C324">
        <v>43</v>
      </c>
      <c r="D324">
        <v>46</v>
      </c>
      <c r="E324">
        <v>61</v>
      </c>
    </row>
    <row r="325" spans="1:5" x14ac:dyDescent="0.25">
      <c r="A325">
        <v>10</v>
      </c>
      <c r="B325">
        <v>18</v>
      </c>
      <c r="C325" t="s">
        <v>48</v>
      </c>
      <c r="D325">
        <v>55</v>
      </c>
      <c r="E325">
        <v>75</v>
      </c>
    </row>
    <row r="326" spans="1:5" x14ac:dyDescent="0.25">
      <c r="A326">
        <v>3</v>
      </c>
      <c r="B326">
        <v>23</v>
      </c>
      <c r="C326">
        <v>35</v>
      </c>
      <c r="D326">
        <v>60</v>
      </c>
      <c r="E326">
        <v>71</v>
      </c>
    </row>
    <row r="327" spans="1:5" x14ac:dyDescent="0.25">
      <c r="A327">
        <v>14</v>
      </c>
      <c r="B327">
        <v>16</v>
      </c>
      <c r="C327">
        <v>37</v>
      </c>
      <c r="D327">
        <v>47</v>
      </c>
      <c r="E327">
        <v>63</v>
      </c>
    </row>
    <row r="328" spans="1:5" x14ac:dyDescent="0.25">
      <c r="A328" t="s">
        <v>10</v>
      </c>
      <c r="B328" s="7">
        <v>41</v>
      </c>
      <c r="D328" s="144" t="s">
        <v>144</v>
      </c>
      <c r="E328" s="144"/>
    </row>
    <row r="330" spans="1:5" x14ac:dyDescent="0.25">
      <c r="A330" t="s">
        <v>0</v>
      </c>
      <c r="B330" t="s">
        <v>1</v>
      </c>
      <c r="C330" t="s">
        <v>2</v>
      </c>
      <c r="D330" t="s">
        <v>3</v>
      </c>
      <c r="E330" t="s">
        <v>4</v>
      </c>
    </row>
    <row r="331" spans="1:5" x14ac:dyDescent="0.25">
      <c r="A331">
        <v>3</v>
      </c>
      <c r="B331">
        <v>18</v>
      </c>
      <c r="C331">
        <v>41</v>
      </c>
      <c r="D331">
        <v>47</v>
      </c>
      <c r="E331">
        <v>65</v>
      </c>
    </row>
    <row r="332" spans="1:5" x14ac:dyDescent="0.25">
      <c r="A332">
        <v>15</v>
      </c>
      <c r="B332">
        <v>20</v>
      </c>
      <c r="C332">
        <v>43</v>
      </c>
      <c r="D332">
        <v>55</v>
      </c>
      <c r="E332">
        <v>70</v>
      </c>
    </row>
    <row r="333" spans="1:5" x14ac:dyDescent="0.25">
      <c r="A333">
        <v>11</v>
      </c>
      <c r="B333">
        <v>16</v>
      </c>
      <c r="C333" t="s">
        <v>48</v>
      </c>
      <c r="D333">
        <v>52</v>
      </c>
      <c r="E333">
        <v>64</v>
      </c>
    </row>
    <row r="334" spans="1:5" x14ac:dyDescent="0.25">
      <c r="A334">
        <v>14</v>
      </c>
      <c r="B334">
        <v>29</v>
      </c>
      <c r="C334">
        <v>32</v>
      </c>
      <c r="D334">
        <v>60</v>
      </c>
      <c r="E334">
        <v>62</v>
      </c>
    </row>
    <row r="335" spans="1:5" x14ac:dyDescent="0.25">
      <c r="A335">
        <v>2</v>
      </c>
      <c r="B335">
        <v>19</v>
      </c>
      <c r="C335">
        <v>34</v>
      </c>
      <c r="D335">
        <v>48</v>
      </c>
      <c r="E335">
        <v>61</v>
      </c>
    </row>
    <row r="336" spans="1:5" x14ac:dyDescent="0.25">
      <c r="A336" t="s">
        <v>10</v>
      </c>
      <c r="B336" s="7">
        <v>42</v>
      </c>
      <c r="D336" s="144" t="s">
        <v>144</v>
      </c>
      <c r="E336" s="144"/>
    </row>
    <row r="338" spans="1:5" x14ac:dyDescent="0.25">
      <c r="A338" t="s">
        <v>0</v>
      </c>
      <c r="B338" t="s">
        <v>1</v>
      </c>
      <c r="C338" t="s">
        <v>2</v>
      </c>
      <c r="D338" t="s">
        <v>3</v>
      </c>
      <c r="E338" t="s">
        <v>4</v>
      </c>
    </row>
    <row r="339" spans="1:5" x14ac:dyDescent="0.25">
      <c r="A339">
        <v>15</v>
      </c>
      <c r="B339">
        <v>21</v>
      </c>
      <c r="C339">
        <v>35</v>
      </c>
      <c r="D339">
        <v>53</v>
      </c>
      <c r="E339">
        <v>68</v>
      </c>
    </row>
    <row r="340" spans="1:5" x14ac:dyDescent="0.25">
      <c r="A340">
        <v>12</v>
      </c>
      <c r="B340">
        <v>19</v>
      </c>
      <c r="C340">
        <v>37</v>
      </c>
      <c r="D340">
        <v>58</v>
      </c>
      <c r="E340">
        <v>72</v>
      </c>
    </row>
    <row r="341" spans="1:5" x14ac:dyDescent="0.25">
      <c r="A341">
        <v>7</v>
      </c>
      <c r="B341">
        <v>17</v>
      </c>
      <c r="C341" t="s">
        <v>48</v>
      </c>
      <c r="D341">
        <v>51</v>
      </c>
      <c r="E341">
        <v>70</v>
      </c>
    </row>
    <row r="342" spans="1:5" x14ac:dyDescent="0.25">
      <c r="A342">
        <v>13</v>
      </c>
      <c r="B342">
        <v>27</v>
      </c>
      <c r="C342">
        <v>45</v>
      </c>
      <c r="D342">
        <v>48</v>
      </c>
      <c r="E342">
        <v>66</v>
      </c>
    </row>
    <row r="343" spans="1:5" x14ac:dyDescent="0.25">
      <c r="A343">
        <v>11</v>
      </c>
      <c r="B343">
        <v>28</v>
      </c>
      <c r="C343">
        <v>41</v>
      </c>
      <c r="D343">
        <v>59</v>
      </c>
      <c r="E343">
        <v>75</v>
      </c>
    </row>
    <row r="344" spans="1:5" x14ac:dyDescent="0.25">
      <c r="A344" t="s">
        <v>10</v>
      </c>
      <c r="B344" s="7">
        <v>43</v>
      </c>
      <c r="D344" s="144" t="s">
        <v>144</v>
      </c>
      <c r="E344" s="144"/>
    </row>
    <row r="346" spans="1:5" x14ac:dyDescent="0.25">
      <c r="A346" t="s">
        <v>0</v>
      </c>
      <c r="B346" t="s">
        <v>1</v>
      </c>
      <c r="C346" t="s">
        <v>2</v>
      </c>
      <c r="D346" t="s">
        <v>3</v>
      </c>
      <c r="E346" t="s">
        <v>4</v>
      </c>
    </row>
    <row r="347" spans="1:5" x14ac:dyDescent="0.25">
      <c r="A347">
        <v>6</v>
      </c>
      <c r="B347">
        <v>17</v>
      </c>
      <c r="C347">
        <v>39</v>
      </c>
      <c r="D347">
        <v>52</v>
      </c>
      <c r="E347">
        <v>75</v>
      </c>
    </row>
    <row r="348" spans="1:5" x14ac:dyDescent="0.25">
      <c r="A348">
        <v>5</v>
      </c>
      <c r="B348">
        <v>29</v>
      </c>
      <c r="C348">
        <v>43</v>
      </c>
      <c r="D348">
        <v>54</v>
      </c>
      <c r="E348">
        <v>61</v>
      </c>
    </row>
    <row r="349" spans="1:5" x14ac:dyDescent="0.25">
      <c r="A349">
        <v>4</v>
      </c>
      <c r="B349">
        <v>25</v>
      </c>
      <c r="C349" t="s">
        <v>48</v>
      </c>
      <c r="D349">
        <v>47</v>
      </c>
      <c r="E349">
        <v>70</v>
      </c>
    </row>
    <row r="350" spans="1:5" x14ac:dyDescent="0.25">
      <c r="A350">
        <v>12</v>
      </c>
      <c r="B350">
        <v>27</v>
      </c>
      <c r="C350">
        <v>33</v>
      </c>
      <c r="D350">
        <v>46</v>
      </c>
      <c r="E350">
        <v>62</v>
      </c>
    </row>
    <row r="351" spans="1:5" x14ac:dyDescent="0.25">
      <c r="A351">
        <v>14</v>
      </c>
      <c r="B351">
        <v>20</v>
      </c>
      <c r="C351">
        <v>42</v>
      </c>
      <c r="D351">
        <v>58</v>
      </c>
      <c r="E351">
        <v>66</v>
      </c>
    </row>
    <row r="352" spans="1:5" x14ac:dyDescent="0.25">
      <c r="A352" t="s">
        <v>10</v>
      </c>
      <c r="B352" s="7">
        <v>44</v>
      </c>
      <c r="D352" s="144" t="s">
        <v>144</v>
      </c>
      <c r="E352" s="144"/>
    </row>
    <row r="354" spans="1:5" x14ac:dyDescent="0.25">
      <c r="A354" t="s">
        <v>0</v>
      </c>
      <c r="B354" t="s">
        <v>1</v>
      </c>
      <c r="C354" t="s">
        <v>2</v>
      </c>
      <c r="D354" t="s">
        <v>3</v>
      </c>
      <c r="E354" t="s">
        <v>4</v>
      </c>
    </row>
    <row r="355" spans="1:5" x14ac:dyDescent="0.25">
      <c r="A355">
        <v>8</v>
      </c>
      <c r="B355">
        <v>19</v>
      </c>
      <c r="C355">
        <v>31</v>
      </c>
      <c r="D355">
        <v>52</v>
      </c>
      <c r="E355">
        <v>64</v>
      </c>
    </row>
    <row r="356" spans="1:5" x14ac:dyDescent="0.25">
      <c r="A356">
        <v>14</v>
      </c>
      <c r="B356">
        <v>16</v>
      </c>
      <c r="C356">
        <v>45</v>
      </c>
      <c r="D356">
        <v>48</v>
      </c>
      <c r="E356">
        <v>66</v>
      </c>
    </row>
    <row r="357" spans="1:5" x14ac:dyDescent="0.25">
      <c r="A357">
        <v>3</v>
      </c>
      <c r="B357">
        <v>29</v>
      </c>
      <c r="C357" t="s">
        <v>48</v>
      </c>
      <c r="D357">
        <v>50</v>
      </c>
      <c r="E357">
        <v>74</v>
      </c>
    </row>
    <row r="358" spans="1:5" x14ac:dyDescent="0.25">
      <c r="A358">
        <v>13</v>
      </c>
      <c r="B358">
        <v>23</v>
      </c>
      <c r="C358">
        <v>34</v>
      </c>
      <c r="D358">
        <v>57</v>
      </c>
      <c r="E358">
        <v>73</v>
      </c>
    </row>
    <row r="359" spans="1:5" x14ac:dyDescent="0.25">
      <c r="A359">
        <v>10</v>
      </c>
      <c r="B359">
        <v>26</v>
      </c>
      <c r="C359">
        <v>44</v>
      </c>
      <c r="D359">
        <v>58</v>
      </c>
      <c r="E359">
        <v>67</v>
      </c>
    </row>
    <row r="360" spans="1:5" x14ac:dyDescent="0.25">
      <c r="A360" t="s">
        <v>10</v>
      </c>
      <c r="B360" s="7">
        <v>45</v>
      </c>
      <c r="D360" s="144" t="s">
        <v>144</v>
      </c>
      <c r="E360" s="144"/>
    </row>
    <row r="362" spans="1:5" x14ac:dyDescent="0.25">
      <c r="A362" t="s">
        <v>0</v>
      </c>
      <c r="B362" t="s">
        <v>1</v>
      </c>
      <c r="C362" t="s">
        <v>2</v>
      </c>
      <c r="D362" t="s">
        <v>3</v>
      </c>
      <c r="E362" t="s">
        <v>4</v>
      </c>
    </row>
    <row r="363" spans="1:5" x14ac:dyDescent="0.25">
      <c r="A363">
        <v>9</v>
      </c>
      <c r="B363">
        <v>20</v>
      </c>
      <c r="C363">
        <v>33</v>
      </c>
      <c r="D363">
        <v>48</v>
      </c>
      <c r="E363">
        <v>72</v>
      </c>
    </row>
    <row r="364" spans="1:5" x14ac:dyDescent="0.25">
      <c r="A364">
        <v>3</v>
      </c>
      <c r="B364">
        <v>25</v>
      </c>
      <c r="C364">
        <v>31</v>
      </c>
      <c r="D364">
        <v>55</v>
      </c>
      <c r="E364">
        <v>66</v>
      </c>
    </row>
    <row r="365" spans="1:5" x14ac:dyDescent="0.25">
      <c r="A365">
        <v>15</v>
      </c>
      <c r="B365">
        <v>21</v>
      </c>
      <c r="C365" t="s">
        <v>48</v>
      </c>
      <c r="D365">
        <v>59</v>
      </c>
      <c r="E365">
        <v>63</v>
      </c>
    </row>
    <row r="366" spans="1:5" x14ac:dyDescent="0.25">
      <c r="A366">
        <v>4</v>
      </c>
      <c r="B366">
        <v>27</v>
      </c>
      <c r="C366">
        <v>34</v>
      </c>
      <c r="D366">
        <v>50</v>
      </c>
      <c r="E366">
        <v>69</v>
      </c>
    </row>
    <row r="367" spans="1:5" x14ac:dyDescent="0.25">
      <c r="A367">
        <v>1</v>
      </c>
      <c r="B367">
        <v>26</v>
      </c>
      <c r="C367">
        <v>45</v>
      </c>
      <c r="D367">
        <v>49</v>
      </c>
      <c r="E367">
        <v>62</v>
      </c>
    </row>
    <row r="368" spans="1:5" x14ac:dyDescent="0.25">
      <c r="A368" t="s">
        <v>10</v>
      </c>
      <c r="B368" s="7">
        <v>46</v>
      </c>
      <c r="D368" s="144" t="s">
        <v>144</v>
      </c>
      <c r="E368" s="144"/>
    </row>
    <row r="370" spans="1:5" x14ac:dyDescent="0.25">
      <c r="A370" t="s">
        <v>0</v>
      </c>
      <c r="B370" t="s">
        <v>1</v>
      </c>
      <c r="C370" t="s">
        <v>2</v>
      </c>
      <c r="D370" t="s">
        <v>3</v>
      </c>
      <c r="E370" t="s">
        <v>4</v>
      </c>
    </row>
    <row r="371" spans="1:5" x14ac:dyDescent="0.25">
      <c r="A371">
        <v>5</v>
      </c>
      <c r="B371">
        <v>19</v>
      </c>
      <c r="C371">
        <v>41</v>
      </c>
      <c r="D371">
        <v>54</v>
      </c>
      <c r="E371">
        <v>73</v>
      </c>
    </row>
    <row r="372" spans="1:5" x14ac:dyDescent="0.25">
      <c r="A372">
        <v>13</v>
      </c>
      <c r="B372">
        <v>16</v>
      </c>
      <c r="C372">
        <v>35</v>
      </c>
      <c r="D372">
        <v>53</v>
      </c>
      <c r="E372">
        <v>62</v>
      </c>
    </row>
    <row r="373" spans="1:5" x14ac:dyDescent="0.25">
      <c r="A373">
        <v>11</v>
      </c>
      <c r="B373">
        <v>30</v>
      </c>
      <c r="C373" t="s">
        <v>48</v>
      </c>
      <c r="D373">
        <v>59</v>
      </c>
      <c r="E373">
        <v>69</v>
      </c>
    </row>
    <row r="374" spans="1:5" x14ac:dyDescent="0.25">
      <c r="A374">
        <v>7</v>
      </c>
      <c r="B374">
        <v>28</v>
      </c>
      <c r="C374">
        <v>44</v>
      </c>
      <c r="D374">
        <v>52</v>
      </c>
      <c r="E374">
        <v>68</v>
      </c>
    </row>
    <row r="375" spans="1:5" x14ac:dyDescent="0.25">
      <c r="A375">
        <v>9</v>
      </c>
      <c r="B375">
        <v>17</v>
      </c>
      <c r="C375">
        <v>31</v>
      </c>
      <c r="D375">
        <v>58</v>
      </c>
      <c r="E375">
        <v>72</v>
      </c>
    </row>
    <row r="376" spans="1:5" x14ac:dyDescent="0.25">
      <c r="A376" t="s">
        <v>10</v>
      </c>
      <c r="B376" s="7">
        <v>47</v>
      </c>
      <c r="D376" s="144" t="s">
        <v>144</v>
      </c>
      <c r="E376" s="144"/>
    </row>
    <row r="378" spans="1:5" x14ac:dyDescent="0.25">
      <c r="A378" t="s">
        <v>0</v>
      </c>
      <c r="B378" t="s">
        <v>1</v>
      </c>
      <c r="C378" t="s">
        <v>2</v>
      </c>
      <c r="D378" t="s">
        <v>3</v>
      </c>
      <c r="E378" t="s">
        <v>4</v>
      </c>
    </row>
    <row r="379" spans="1:5" x14ac:dyDescent="0.25">
      <c r="A379">
        <v>7</v>
      </c>
      <c r="B379">
        <v>30</v>
      </c>
      <c r="C379">
        <v>44</v>
      </c>
      <c r="D379">
        <v>55</v>
      </c>
      <c r="E379">
        <v>69</v>
      </c>
    </row>
    <row r="380" spans="1:5" x14ac:dyDescent="0.25">
      <c r="A380">
        <v>15</v>
      </c>
      <c r="B380">
        <v>28</v>
      </c>
      <c r="C380">
        <v>42</v>
      </c>
      <c r="D380">
        <v>47</v>
      </c>
      <c r="E380">
        <v>73</v>
      </c>
    </row>
    <row r="381" spans="1:5" x14ac:dyDescent="0.25">
      <c r="A381">
        <v>3</v>
      </c>
      <c r="B381">
        <v>18</v>
      </c>
      <c r="C381" t="s">
        <v>48</v>
      </c>
      <c r="D381">
        <v>56</v>
      </c>
      <c r="E381">
        <v>75</v>
      </c>
    </row>
    <row r="382" spans="1:5" x14ac:dyDescent="0.25">
      <c r="A382">
        <v>11</v>
      </c>
      <c r="B382">
        <v>25</v>
      </c>
      <c r="C382">
        <v>36</v>
      </c>
      <c r="D382">
        <v>50</v>
      </c>
      <c r="E382">
        <v>64</v>
      </c>
    </row>
    <row r="383" spans="1:5" x14ac:dyDescent="0.25">
      <c r="A383">
        <v>8</v>
      </c>
      <c r="B383">
        <v>20</v>
      </c>
      <c r="C383">
        <v>32</v>
      </c>
      <c r="D383">
        <v>54</v>
      </c>
      <c r="E383">
        <v>63</v>
      </c>
    </row>
    <row r="384" spans="1:5" x14ac:dyDescent="0.25">
      <c r="A384" t="s">
        <v>10</v>
      </c>
      <c r="B384" s="7">
        <v>48</v>
      </c>
      <c r="D384" s="144" t="s">
        <v>144</v>
      </c>
      <c r="E384" s="144"/>
    </row>
    <row r="386" spans="1:5" x14ac:dyDescent="0.25">
      <c r="A386" t="s">
        <v>0</v>
      </c>
      <c r="B386" t="s">
        <v>1</v>
      </c>
      <c r="C386" t="s">
        <v>2</v>
      </c>
      <c r="D386" t="s">
        <v>3</v>
      </c>
      <c r="E386" t="s">
        <v>4</v>
      </c>
    </row>
    <row r="387" spans="1:5" x14ac:dyDescent="0.25">
      <c r="A387">
        <v>11</v>
      </c>
      <c r="B387">
        <v>24</v>
      </c>
      <c r="C387">
        <v>34</v>
      </c>
      <c r="D387">
        <v>60</v>
      </c>
      <c r="E387">
        <v>71</v>
      </c>
    </row>
    <row r="388" spans="1:5" x14ac:dyDescent="0.25">
      <c r="A388">
        <v>13</v>
      </c>
      <c r="B388">
        <v>21</v>
      </c>
      <c r="C388">
        <v>43</v>
      </c>
      <c r="D388">
        <v>51</v>
      </c>
      <c r="E388">
        <v>65</v>
      </c>
    </row>
    <row r="389" spans="1:5" x14ac:dyDescent="0.25">
      <c r="A389">
        <v>5</v>
      </c>
      <c r="B389">
        <v>23</v>
      </c>
      <c r="C389" t="s">
        <v>48</v>
      </c>
      <c r="D389">
        <v>50</v>
      </c>
      <c r="E389">
        <v>61</v>
      </c>
    </row>
    <row r="390" spans="1:5" x14ac:dyDescent="0.25">
      <c r="A390">
        <v>12</v>
      </c>
      <c r="B390">
        <v>27</v>
      </c>
      <c r="C390">
        <v>33</v>
      </c>
      <c r="D390">
        <v>56</v>
      </c>
      <c r="E390">
        <v>75</v>
      </c>
    </row>
    <row r="391" spans="1:5" x14ac:dyDescent="0.25">
      <c r="A391">
        <v>6</v>
      </c>
      <c r="B391">
        <v>20</v>
      </c>
      <c r="C391">
        <v>38</v>
      </c>
      <c r="D391">
        <v>49</v>
      </c>
      <c r="E391">
        <v>66</v>
      </c>
    </row>
    <row r="392" spans="1:5" x14ac:dyDescent="0.25">
      <c r="A392" t="s">
        <v>10</v>
      </c>
      <c r="B392" s="7">
        <v>49</v>
      </c>
      <c r="D392" s="144" t="s">
        <v>144</v>
      </c>
      <c r="E392" s="144"/>
    </row>
    <row r="394" spans="1:5" x14ac:dyDescent="0.25">
      <c r="A394" t="s">
        <v>0</v>
      </c>
      <c r="B394" t="s">
        <v>1</v>
      </c>
      <c r="C394" t="s">
        <v>2</v>
      </c>
      <c r="D394" t="s">
        <v>3</v>
      </c>
      <c r="E394" t="s">
        <v>4</v>
      </c>
    </row>
    <row r="395" spans="1:5" x14ac:dyDescent="0.25">
      <c r="A395">
        <v>6</v>
      </c>
      <c r="B395">
        <v>27</v>
      </c>
      <c r="C395">
        <v>45</v>
      </c>
      <c r="D395">
        <v>50</v>
      </c>
      <c r="E395">
        <v>72</v>
      </c>
    </row>
    <row r="396" spans="1:5" x14ac:dyDescent="0.25">
      <c r="A396">
        <v>7</v>
      </c>
      <c r="B396">
        <v>22</v>
      </c>
      <c r="C396">
        <v>31</v>
      </c>
      <c r="D396">
        <v>48</v>
      </c>
      <c r="E396">
        <v>62</v>
      </c>
    </row>
    <row r="397" spans="1:5" x14ac:dyDescent="0.25">
      <c r="A397">
        <v>11</v>
      </c>
      <c r="B397">
        <v>17</v>
      </c>
      <c r="C397" t="s">
        <v>48</v>
      </c>
      <c r="D397">
        <v>53</v>
      </c>
      <c r="E397">
        <v>70</v>
      </c>
    </row>
    <row r="398" spans="1:5" x14ac:dyDescent="0.25">
      <c r="A398">
        <v>4</v>
      </c>
      <c r="B398">
        <v>18</v>
      </c>
      <c r="C398">
        <v>35</v>
      </c>
      <c r="D398">
        <v>59</v>
      </c>
      <c r="E398">
        <v>71</v>
      </c>
    </row>
    <row r="399" spans="1:5" x14ac:dyDescent="0.25">
      <c r="A399">
        <v>14</v>
      </c>
      <c r="B399">
        <v>19</v>
      </c>
      <c r="C399">
        <v>41</v>
      </c>
      <c r="D399">
        <v>46</v>
      </c>
      <c r="E399">
        <v>67</v>
      </c>
    </row>
    <row r="400" spans="1:5" x14ac:dyDescent="0.25">
      <c r="A400" t="s">
        <v>10</v>
      </c>
      <c r="B400" s="7">
        <v>50</v>
      </c>
      <c r="D400" s="144" t="s">
        <v>144</v>
      </c>
      <c r="E400" s="144"/>
    </row>
    <row r="402" spans="1:5" x14ac:dyDescent="0.25">
      <c r="A402" t="s">
        <v>0</v>
      </c>
      <c r="B402" t="s">
        <v>1</v>
      </c>
      <c r="C402" t="s">
        <v>2</v>
      </c>
      <c r="D402" t="s">
        <v>3</v>
      </c>
      <c r="E402" t="s">
        <v>4</v>
      </c>
    </row>
    <row r="403" spans="1:5" x14ac:dyDescent="0.25">
      <c r="A403">
        <v>12</v>
      </c>
      <c r="B403">
        <v>20</v>
      </c>
      <c r="C403">
        <v>44</v>
      </c>
      <c r="D403">
        <v>57</v>
      </c>
      <c r="E403">
        <v>75</v>
      </c>
    </row>
    <row r="404" spans="1:5" x14ac:dyDescent="0.25">
      <c r="A404">
        <v>3</v>
      </c>
      <c r="B404">
        <v>25</v>
      </c>
      <c r="C404">
        <v>38</v>
      </c>
      <c r="D404">
        <v>56</v>
      </c>
      <c r="E404">
        <v>72</v>
      </c>
    </row>
    <row r="405" spans="1:5" x14ac:dyDescent="0.25">
      <c r="A405">
        <v>15</v>
      </c>
      <c r="B405">
        <v>18</v>
      </c>
      <c r="C405" t="s">
        <v>48</v>
      </c>
      <c r="D405">
        <v>49</v>
      </c>
      <c r="E405">
        <v>69</v>
      </c>
    </row>
    <row r="406" spans="1:5" x14ac:dyDescent="0.25">
      <c r="A406">
        <v>5</v>
      </c>
      <c r="B406">
        <v>29</v>
      </c>
      <c r="C406">
        <v>45</v>
      </c>
      <c r="D406">
        <v>48</v>
      </c>
      <c r="E406">
        <v>66</v>
      </c>
    </row>
    <row r="407" spans="1:5" x14ac:dyDescent="0.25">
      <c r="A407">
        <v>2</v>
      </c>
      <c r="B407">
        <v>22</v>
      </c>
      <c r="C407">
        <v>37</v>
      </c>
      <c r="D407">
        <v>55</v>
      </c>
      <c r="E407">
        <v>65</v>
      </c>
    </row>
    <row r="408" spans="1:5" x14ac:dyDescent="0.25">
      <c r="A408" t="s">
        <v>10</v>
      </c>
      <c r="B408" s="7">
        <v>51</v>
      </c>
      <c r="D408" s="144" t="s">
        <v>144</v>
      </c>
      <c r="E408" s="144"/>
    </row>
    <row r="410" spans="1:5" x14ac:dyDescent="0.25">
      <c r="A410" t="s">
        <v>0</v>
      </c>
      <c r="B410" t="s">
        <v>1</v>
      </c>
      <c r="C410" t="s">
        <v>2</v>
      </c>
      <c r="D410" t="s">
        <v>3</v>
      </c>
      <c r="E410" t="s">
        <v>4</v>
      </c>
    </row>
    <row r="411" spans="1:5" x14ac:dyDescent="0.25">
      <c r="A411">
        <v>12</v>
      </c>
      <c r="B411">
        <v>30</v>
      </c>
      <c r="C411">
        <v>32</v>
      </c>
      <c r="D411">
        <v>46</v>
      </c>
      <c r="E411">
        <v>65</v>
      </c>
    </row>
    <row r="412" spans="1:5" x14ac:dyDescent="0.25">
      <c r="A412">
        <v>4</v>
      </c>
      <c r="B412">
        <v>28</v>
      </c>
      <c r="C412">
        <v>40</v>
      </c>
      <c r="D412">
        <v>53</v>
      </c>
      <c r="E412">
        <v>70</v>
      </c>
    </row>
    <row r="413" spans="1:5" x14ac:dyDescent="0.25">
      <c r="A413">
        <v>11</v>
      </c>
      <c r="B413">
        <v>25</v>
      </c>
      <c r="C413" t="s">
        <v>48</v>
      </c>
      <c r="D413">
        <v>55</v>
      </c>
      <c r="E413">
        <v>66</v>
      </c>
    </row>
    <row r="414" spans="1:5" x14ac:dyDescent="0.25">
      <c r="A414">
        <v>10</v>
      </c>
      <c r="B414">
        <v>17</v>
      </c>
      <c r="C414">
        <v>42</v>
      </c>
      <c r="D414">
        <v>58</v>
      </c>
      <c r="E414">
        <v>69</v>
      </c>
    </row>
    <row r="415" spans="1:5" x14ac:dyDescent="0.25">
      <c r="A415">
        <v>3</v>
      </c>
      <c r="B415">
        <v>22</v>
      </c>
      <c r="C415">
        <v>37</v>
      </c>
      <c r="D415">
        <v>50</v>
      </c>
      <c r="E415">
        <v>63</v>
      </c>
    </row>
    <row r="416" spans="1:5" x14ac:dyDescent="0.25">
      <c r="A416" t="s">
        <v>10</v>
      </c>
      <c r="B416" s="7">
        <v>52</v>
      </c>
      <c r="D416" s="144" t="s">
        <v>144</v>
      </c>
      <c r="E416" s="144"/>
    </row>
    <row r="418" spans="1:5" x14ac:dyDescent="0.25">
      <c r="A418" t="s">
        <v>0</v>
      </c>
      <c r="B418" t="s">
        <v>1</v>
      </c>
      <c r="C418" t="s">
        <v>2</v>
      </c>
      <c r="D418" t="s">
        <v>3</v>
      </c>
      <c r="E418" t="s">
        <v>4</v>
      </c>
    </row>
    <row r="419" spans="1:5" x14ac:dyDescent="0.25">
      <c r="A419">
        <v>11</v>
      </c>
      <c r="B419">
        <v>26</v>
      </c>
      <c r="C419">
        <v>33</v>
      </c>
      <c r="D419">
        <v>56</v>
      </c>
      <c r="E419">
        <v>68</v>
      </c>
    </row>
    <row r="420" spans="1:5" x14ac:dyDescent="0.25">
      <c r="A420">
        <v>15</v>
      </c>
      <c r="B420">
        <v>19</v>
      </c>
      <c r="C420">
        <v>44</v>
      </c>
      <c r="D420">
        <v>60</v>
      </c>
      <c r="E420">
        <v>66</v>
      </c>
    </row>
    <row r="421" spans="1:5" x14ac:dyDescent="0.25">
      <c r="A421">
        <v>12</v>
      </c>
      <c r="B421">
        <v>30</v>
      </c>
      <c r="C421" t="s">
        <v>48</v>
      </c>
      <c r="D421">
        <v>52</v>
      </c>
      <c r="E421">
        <v>69</v>
      </c>
    </row>
    <row r="422" spans="1:5" x14ac:dyDescent="0.25">
      <c r="A422">
        <v>3</v>
      </c>
      <c r="B422">
        <v>28</v>
      </c>
      <c r="C422">
        <v>32</v>
      </c>
      <c r="D422">
        <v>59</v>
      </c>
      <c r="E422">
        <v>61</v>
      </c>
    </row>
    <row r="423" spans="1:5" x14ac:dyDescent="0.25">
      <c r="A423">
        <v>5</v>
      </c>
      <c r="B423">
        <v>29</v>
      </c>
      <c r="C423">
        <v>42</v>
      </c>
      <c r="D423">
        <v>48</v>
      </c>
      <c r="E423">
        <v>71</v>
      </c>
    </row>
    <row r="424" spans="1:5" x14ac:dyDescent="0.25">
      <c r="A424" t="s">
        <v>10</v>
      </c>
      <c r="B424" s="7">
        <v>53</v>
      </c>
      <c r="D424" s="144" t="s">
        <v>144</v>
      </c>
      <c r="E424" s="144"/>
    </row>
    <row r="426" spans="1:5" x14ac:dyDescent="0.25">
      <c r="A426" t="s">
        <v>0</v>
      </c>
      <c r="B426" t="s">
        <v>1</v>
      </c>
      <c r="C426" t="s">
        <v>2</v>
      </c>
      <c r="D426" t="s">
        <v>3</v>
      </c>
      <c r="E426" t="s">
        <v>4</v>
      </c>
    </row>
    <row r="427" spans="1:5" x14ac:dyDescent="0.25">
      <c r="A427">
        <v>2</v>
      </c>
      <c r="B427">
        <v>27</v>
      </c>
      <c r="C427">
        <v>36</v>
      </c>
      <c r="D427">
        <v>55</v>
      </c>
      <c r="E427">
        <v>61</v>
      </c>
    </row>
    <row r="428" spans="1:5" x14ac:dyDescent="0.25">
      <c r="A428">
        <v>4</v>
      </c>
      <c r="B428">
        <v>23</v>
      </c>
      <c r="C428">
        <v>34</v>
      </c>
      <c r="D428">
        <v>52</v>
      </c>
      <c r="E428">
        <v>69</v>
      </c>
    </row>
    <row r="429" spans="1:5" x14ac:dyDescent="0.25">
      <c r="A429">
        <v>13</v>
      </c>
      <c r="B429">
        <v>26</v>
      </c>
      <c r="C429" t="s">
        <v>48</v>
      </c>
      <c r="D429">
        <v>58</v>
      </c>
      <c r="E429">
        <v>70</v>
      </c>
    </row>
    <row r="430" spans="1:5" x14ac:dyDescent="0.25">
      <c r="A430">
        <v>12</v>
      </c>
      <c r="B430">
        <v>20</v>
      </c>
      <c r="C430">
        <v>37</v>
      </c>
      <c r="D430">
        <v>56</v>
      </c>
      <c r="E430">
        <v>63</v>
      </c>
    </row>
    <row r="431" spans="1:5" x14ac:dyDescent="0.25">
      <c r="A431">
        <v>15</v>
      </c>
      <c r="B431">
        <v>17</v>
      </c>
      <c r="C431">
        <v>35</v>
      </c>
      <c r="D431">
        <v>60</v>
      </c>
      <c r="E431">
        <v>68</v>
      </c>
    </row>
    <row r="432" spans="1:5" x14ac:dyDescent="0.25">
      <c r="A432" t="s">
        <v>10</v>
      </c>
      <c r="B432" s="7">
        <v>54</v>
      </c>
      <c r="D432" s="144" t="s">
        <v>144</v>
      </c>
      <c r="E432" s="144"/>
    </row>
    <row r="434" spans="1:5" x14ac:dyDescent="0.25">
      <c r="A434" t="s">
        <v>0</v>
      </c>
      <c r="B434" t="s">
        <v>1</v>
      </c>
      <c r="C434" t="s">
        <v>2</v>
      </c>
      <c r="D434" t="s">
        <v>3</v>
      </c>
      <c r="E434" t="s">
        <v>4</v>
      </c>
    </row>
    <row r="435" spans="1:5" x14ac:dyDescent="0.25">
      <c r="A435">
        <v>7</v>
      </c>
      <c r="B435">
        <v>29</v>
      </c>
      <c r="C435">
        <v>44</v>
      </c>
      <c r="D435">
        <v>60</v>
      </c>
      <c r="E435">
        <v>71</v>
      </c>
    </row>
    <row r="436" spans="1:5" x14ac:dyDescent="0.25">
      <c r="A436">
        <v>15</v>
      </c>
      <c r="B436">
        <v>28</v>
      </c>
      <c r="C436">
        <v>38</v>
      </c>
      <c r="D436">
        <v>58</v>
      </c>
      <c r="E436">
        <v>65</v>
      </c>
    </row>
    <row r="437" spans="1:5" x14ac:dyDescent="0.25">
      <c r="A437">
        <v>9</v>
      </c>
      <c r="B437">
        <v>20</v>
      </c>
      <c r="C437" t="s">
        <v>48</v>
      </c>
      <c r="D437">
        <v>50</v>
      </c>
      <c r="E437">
        <v>75</v>
      </c>
    </row>
    <row r="438" spans="1:5" x14ac:dyDescent="0.25">
      <c r="A438">
        <v>12</v>
      </c>
      <c r="B438">
        <v>23</v>
      </c>
      <c r="C438">
        <v>45</v>
      </c>
      <c r="D438">
        <v>49</v>
      </c>
      <c r="E438">
        <v>63</v>
      </c>
    </row>
    <row r="439" spans="1:5" x14ac:dyDescent="0.25">
      <c r="A439">
        <v>5</v>
      </c>
      <c r="B439">
        <v>19</v>
      </c>
      <c r="C439">
        <v>31</v>
      </c>
      <c r="D439">
        <v>52</v>
      </c>
      <c r="E439">
        <v>70</v>
      </c>
    </row>
    <row r="440" spans="1:5" x14ac:dyDescent="0.25">
      <c r="A440" t="s">
        <v>10</v>
      </c>
      <c r="B440" s="7">
        <v>55</v>
      </c>
      <c r="D440" s="144" t="s">
        <v>144</v>
      </c>
      <c r="E440" s="144"/>
    </row>
    <row r="442" spans="1:5" x14ac:dyDescent="0.25">
      <c r="A442" t="s">
        <v>0</v>
      </c>
      <c r="B442" t="s">
        <v>1</v>
      </c>
      <c r="C442" t="s">
        <v>2</v>
      </c>
      <c r="D442" t="s">
        <v>3</v>
      </c>
      <c r="E442" t="s">
        <v>4</v>
      </c>
    </row>
    <row r="443" spans="1:5" x14ac:dyDescent="0.25">
      <c r="A443">
        <v>1</v>
      </c>
      <c r="B443">
        <v>16</v>
      </c>
      <c r="C443">
        <v>36</v>
      </c>
      <c r="D443">
        <v>49</v>
      </c>
      <c r="E443">
        <v>70</v>
      </c>
    </row>
    <row r="444" spans="1:5" x14ac:dyDescent="0.25">
      <c r="A444">
        <v>14</v>
      </c>
      <c r="B444">
        <v>30</v>
      </c>
      <c r="C444">
        <v>39</v>
      </c>
      <c r="D444">
        <v>54</v>
      </c>
      <c r="E444">
        <v>63</v>
      </c>
    </row>
    <row r="445" spans="1:5" x14ac:dyDescent="0.25">
      <c r="A445">
        <v>8</v>
      </c>
      <c r="B445">
        <v>24</v>
      </c>
      <c r="C445" t="s">
        <v>48</v>
      </c>
      <c r="D445">
        <v>58</v>
      </c>
      <c r="E445">
        <v>72</v>
      </c>
    </row>
    <row r="446" spans="1:5" x14ac:dyDescent="0.25">
      <c r="A446">
        <v>2</v>
      </c>
      <c r="B446">
        <v>25</v>
      </c>
      <c r="C446">
        <v>33</v>
      </c>
      <c r="D446">
        <v>60</v>
      </c>
      <c r="E446">
        <v>71</v>
      </c>
    </row>
    <row r="447" spans="1:5" x14ac:dyDescent="0.25">
      <c r="A447">
        <v>6</v>
      </c>
      <c r="B447">
        <v>27</v>
      </c>
      <c r="C447">
        <v>41</v>
      </c>
      <c r="D447">
        <v>51</v>
      </c>
      <c r="E447">
        <v>74</v>
      </c>
    </row>
    <row r="448" spans="1:5" x14ac:dyDescent="0.25">
      <c r="A448" t="s">
        <v>10</v>
      </c>
      <c r="B448" s="7">
        <v>56</v>
      </c>
      <c r="D448" s="144" t="s">
        <v>144</v>
      </c>
      <c r="E448" s="144"/>
    </row>
    <row r="450" spans="1:5" x14ac:dyDescent="0.25">
      <c r="A450" t="s">
        <v>0</v>
      </c>
      <c r="B450" t="s">
        <v>1</v>
      </c>
      <c r="C450" t="s">
        <v>2</v>
      </c>
      <c r="D450" t="s">
        <v>3</v>
      </c>
      <c r="E450" t="s">
        <v>4</v>
      </c>
    </row>
    <row r="451" spans="1:5" x14ac:dyDescent="0.25">
      <c r="A451">
        <v>13</v>
      </c>
      <c r="B451">
        <v>17</v>
      </c>
      <c r="C451">
        <v>33</v>
      </c>
      <c r="D451">
        <v>46</v>
      </c>
      <c r="E451">
        <v>75</v>
      </c>
    </row>
    <row r="452" spans="1:5" x14ac:dyDescent="0.25">
      <c r="A452">
        <v>10</v>
      </c>
      <c r="B452">
        <v>30</v>
      </c>
      <c r="C452">
        <v>43</v>
      </c>
      <c r="D452">
        <v>52</v>
      </c>
      <c r="E452">
        <v>71</v>
      </c>
    </row>
    <row r="453" spans="1:5" x14ac:dyDescent="0.25">
      <c r="A453">
        <v>5</v>
      </c>
      <c r="B453">
        <v>19</v>
      </c>
      <c r="C453" t="s">
        <v>48</v>
      </c>
      <c r="D453">
        <v>50</v>
      </c>
      <c r="E453">
        <v>61</v>
      </c>
    </row>
    <row r="454" spans="1:5" x14ac:dyDescent="0.25">
      <c r="A454">
        <v>7</v>
      </c>
      <c r="B454">
        <v>29</v>
      </c>
      <c r="C454">
        <v>34</v>
      </c>
      <c r="D454">
        <v>55</v>
      </c>
      <c r="E454">
        <v>66</v>
      </c>
    </row>
    <row r="455" spans="1:5" x14ac:dyDescent="0.25">
      <c r="A455">
        <v>9</v>
      </c>
      <c r="B455">
        <v>24</v>
      </c>
      <c r="C455">
        <v>35</v>
      </c>
      <c r="D455">
        <v>51</v>
      </c>
      <c r="E455">
        <v>69</v>
      </c>
    </row>
    <row r="456" spans="1:5" x14ac:dyDescent="0.25">
      <c r="A456" t="s">
        <v>10</v>
      </c>
      <c r="B456" s="7">
        <v>57</v>
      </c>
      <c r="D456" s="144" t="s">
        <v>144</v>
      </c>
      <c r="E456" s="144"/>
    </row>
    <row r="458" spans="1:5" x14ac:dyDescent="0.25">
      <c r="A458" t="s">
        <v>0</v>
      </c>
      <c r="B458" t="s">
        <v>1</v>
      </c>
      <c r="C458" t="s">
        <v>2</v>
      </c>
      <c r="D458" t="s">
        <v>3</v>
      </c>
      <c r="E458" t="s">
        <v>4</v>
      </c>
    </row>
    <row r="459" spans="1:5" x14ac:dyDescent="0.25">
      <c r="A459">
        <v>4</v>
      </c>
      <c r="B459">
        <v>26</v>
      </c>
      <c r="C459">
        <v>31</v>
      </c>
      <c r="D459">
        <v>51</v>
      </c>
      <c r="E459">
        <v>75</v>
      </c>
    </row>
    <row r="460" spans="1:5" x14ac:dyDescent="0.25">
      <c r="A460">
        <v>15</v>
      </c>
      <c r="B460">
        <v>30</v>
      </c>
      <c r="C460">
        <v>32</v>
      </c>
      <c r="D460">
        <v>57</v>
      </c>
      <c r="E460">
        <v>70</v>
      </c>
    </row>
    <row r="461" spans="1:5" x14ac:dyDescent="0.25">
      <c r="A461">
        <v>7</v>
      </c>
      <c r="B461">
        <v>23</v>
      </c>
      <c r="C461" t="s">
        <v>48</v>
      </c>
      <c r="D461">
        <v>49</v>
      </c>
      <c r="E461">
        <v>73</v>
      </c>
    </row>
    <row r="462" spans="1:5" x14ac:dyDescent="0.25">
      <c r="A462">
        <v>5</v>
      </c>
      <c r="B462">
        <v>20</v>
      </c>
      <c r="C462">
        <v>41</v>
      </c>
      <c r="D462">
        <v>50</v>
      </c>
      <c r="E462">
        <v>68</v>
      </c>
    </row>
    <row r="463" spans="1:5" x14ac:dyDescent="0.25">
      <c r="A463">
        <v>14</v>
      </c>
      <c r="B463">
        <v>28</v>
      </c>
      <c r="C463">
        <v>34</v>
      </c>
      <c r="D463">
        <v>53</v>
      </c>
      <c r="E463">
        <v>65</v>
      </c>
    </row>
    <row r="464" spans="1:5" x14ac:dyDescent="0.25">
      <c r="A464" t="s">
        <v>10</v>
      </c>
      <c r="B464" s="7">
        <v>58</v>
      </c>
      <c r="D464" s="144" t="s">
        <v>144</v>
      </c>
      <c r="E464" s="144"/>
    </row>
    <row r="466" spans="1:5" x14ac:dyDescent="0.25">
      <c r="A466" t="s">
        <v>0</v>
      </c>
      <c r="B466" t="s">
        <v>1</v>
      </c>
      <c r="C466" t="s">
        <v>2</v>
      </c>
      <c r="D466" t="s">
        <v>3</v>
      </c>
      <c r="E466" t="s">
        <v>4</v>
      </c>
    </row>
    <row r="467" spans="1:5" x14ac:dyDescent="0.25">
      <c r="A467">
        <v>13</v>
      </c>
      <c r="B467">
        <v>22</v>
      </c>
      <c r="C467">
        <v>45</v>
      </c>
      <c r="D467">
        <v>58</v>
      </c>
      <c r="E467">
        <v>71</v>
      </c>
    </row>
    <row r="468" spans="1:5" x14ac:dyDescent="0.25">
      <c r="A468">
        <v>9</v>
      </c>
      <c r="B468">
        <v>24</v>
      </c>
      <c r="C468">
        <v>44</v>
      </c>
      <c r="D468">
        <v>51</v>
      </c>
      <c r="E468">
        <v>62</v>
      </c>
    </row>
    <row r="469" spans="1:5" x14ac:dyDescent="0.25">
      <c r="A469">
        <v>5</v>
      </c>
      <c r="B469">
        <v>18</v>
      </c>
      <c r="C469" t="s">
        <v>48</v>
      </c>
      <c r="D469">
        <v>52</v>
      </c>
      <c r="E469">
        <v>61</v>
      </c>
    </row>
    <row r="470" spans="1:5" x14ac:dyDescent="0.25">
      <c r="A470">
        <v>1</v>
      </c>
      <c r="B470">
        <v>25</v>
      </c>
      <c r="C470">
        <v>43</v>
      </c>
      <c r="D470">
        <v>55</v>
      </c>
      <c r="E470">
        <v>65</v>
      </c>
    </row>
    <row r="471" spans="1:5" x14ac:dyDescent="0.25">
      <c r="A471">
        <v>14</v>
      </c>
      <c r="B471">
        <v>17</v>
      </c>
      <c r="C471">
        <v>36</v>
      </c>
      <c r="D471">
        <v>48</v>
      </c>
      <c r="E471">
        <v>69</v>
      </c>
    </row>
    <row r="472" spans="1:5" x14ac:dyDescent="0.25">
      <c r="A472" t="s">
        <v>10</v>
      </c>
      <c r="B472" s="7">
        <v>59</v>
      </c>
      <c r="D472" s="144" t="s">
        <v>144</v>
      </c>
      <c r="E472" s="144"/>
    </row>
    <row r="474" spans="1:5" x14ac:dyDescent="0.25">
      <c r="A474" t="s">
        <v>0</v>
      </c>
      <c r="B474" t="s">
        <v>1</v>
      </c>
      <c r="C474" t="s">
        <v>2</v>
      </c>
      <c r="D474" t="s">
        <v>3</v>
      </c>
      <c r="E474" t="s">
        <v>4</v>
      </c>
    </row>
    <row r="475" spans="1:5" x14ac:dyDescent="0.25">
      <c r="A475">
        <v>6</v>
      </c>
      <c r="B475">
        <v>22</v>
      </c>
      <c r="C475">
        <v>34</v>
      </c>
      <c r="D475">
        <v>52</v>
      </c>
      <c r="E475">
        <v>73</v>
      </c>
    </row>
    <row r="476" spans="1:5" x14ac:dyDescent="0.25">
      <c r="A476">
        <v>11</v>
      </c>
      <c r="B476">
        <v>21</v>
      </c>
      <c r="C476">
        <v>40</v>
      </c>
      <c r="D476">
        <v>54</v>
      </c>
      <c r="E476">
        <v>68</v>
      </c>
    </row>
    <row r="477" spans="1:5" x14ac:dyDescent="0.25">
      <c r="A477">
        <v>9</v>
      </c>
      <c r="B477">
        <v>30</v>
      </c>
      <c r="C477" t="s">
        <v>48</v>
      </c>
      <c r="D477">
        <v>50</v>
      </c>
      <c r="E477">
        <v>67</v>
      </c>
    </row>
    <row r="478" spans="1:5" x14ac:dyDescent="0.25">
      <c r="A478">
        <v>5</v>
      </c>
      <c r="B478">
        <v>20</v>
      </c>
      <c r="C478">
        <v>38</v>
      </c>
      <c r="D478">
        <v>48</v>
      </c>
      <c r="E478">
        <v>66</v>
      </c>
    </row>
    <row r="479" spans="1:5" x14ac:dyDescent="0.25">
      <c r="A479">
        <v>4</v>
      </c>
      <c r="B479">
        <v>19</v>
      </c>
      <c r="C479">
        <v>44</v>
      </c>
      <c r="D479">
        <v>47</v>
      </c>
      <c r="E479">
        <v>61</v>
      </c>
    </row>
    <row r="480" spans="1:5" x14ac:dyDescent="0.25">
      <c r="A480" t="s">
        <v>10</v>
      </c>
      <c r="B480" s="7">
        <v>60</v>
      </c>
      <c r="D480" s="144" t="s">
        <v>144</v>
      </c>
      <c r="E480" s="144"/>
    </row>
    <row r="482" spans="1:5" x14ac:dyDescent="0.25">
      <c r="A482" t="s">
        <v>0</v>
      </c>
      <c r="B482" t="s">
        <v>1</v>
      </c>
      <c r="C482" t="s">
        <v>2</v>
      </c>
      <c r="D482" t="s">
        <v>3</v>
      </c>
      <c r="E482" t="s">
        <v>4</v>
      </c>
    </row>
    <row r="483" spans="1:5" x14ac:dyDescent="0.25">
      <c r="A483">
        <v>15</v>
      </c>
      <c r="B483">
        <v>28</v>
      </c>
      <c r="C483">
        <v>38</v>
      </c>
      <c r="D483">
        <v>56</v>
      </c>
      <c r="E483">
        <v>75</v>
      </c>
    </row>
    <row r="484" spans="1:5" x14ac:dyDescent="0.25">
      <c r="A484">
        <v>9</v>
      </c>
      <c r="B484">
        <v>26</v>
      </c>
      <c r="C484">
        <v>32</v>
      </c>
      <c r="D484">
        <v>57</v>
      </c>
      <c r="E484">
        <v>72</v>
      </c>
    </row>
    <row r="485" spans="1:5" x14ac:dyDescent="0.25">
      <c r="A485">
        <v>5</v>
      </c>
      <c r="B485">
        <v>29</v>
      </c>
      <c r="C485" t="s">
        <v>48</v>
      </c>
      <c r="D485">
        <v>46</v>
      </c>
      <c r="E485">
        <v>63</v>
      </c>
    </row>
    <row r="486" spans="1:5" x14ac:dyDescent="0.25">
      <c r="A486">
        <v>8</v>
      </c>
      <c r="B486">
        <v>19</v>
      </c>
      <c r="C486">
        <v>33</v>
      </c>
      <c r="D486">
        <v>49</v>
      </c>
      <c r="E486">
        <v>70</v>
      </c>
    </row>
    <row r="487" spans="1:5" x14ac:dyDescent="0.25">
      <c r="A487">
        <v>6</v>
      </c>
      <c r="B487">
        <v>17</v>
      </c>
      <c r="C487">
        <v>43</v>
      </c>
      <c r="D487">
        <v>54</v>
      </c>
      <c r="E487">
        <v>74</v>
      </c>
    </row>
    <row r="488" spans="1:5" x14ac:dyDescent="0.25">
      <c r="A488" t="s">
        <v>10</v>
      </c>
      <c r="B488" s="7">
        <v>61</v>
      </c>
      <c r="D488" s="144" t="s">
        <v>144</v>
      </c>
      <c r="E488" s="144"/>
    </row>
    <row r="490" spans="1:5" x14ac:dyDescent="0.25">
      <c r="A490" t="s">
        <v>0</v>
      </c>
      <c r="B490" t="s">
        <v>1</v>
      </c>
      <c r="C490" t="s">
        <v>2</v>
      </c>
      <c r="D490" t="s">
        <v>3</v>
      </c>
      <c r="E490" t="s">
        <v>4</v>
      </c>
    </row>
    <row r="491" spans="1:5" x14ac:dyDescent="0.25">
      <c r="A491">
        <v>8</v>
      </c>
      <c r="B491">
        <v>30</v>
      </c>
      <c r="C491">
        <v>41</v>
      </c>
      <c r="D491">
        <v>57</v>
      </c>
      <c r="E491">
        <v>74</v>
      </c>
    </row>
    <row r="492" spans="1:5" x14ac:dyDescent="0.25">
      <c r="A492">
        <v>6</v>
      </c>
      <c r="B492">
        <v>18</v>
      </c>
      <c r="C492">
        <v>39</v>
      </c>
      <c r="D492">
        <v>56</v>
      </c>
      <c r="E492">
        <v>65</v>
      </c>
    </row>
    <row r="493" spans="1:5" x14ac:dyDescent="0.25">
      <c r="A493">
        <v>13</v>
      </c>
      <c r="B493">
        <v>29</v>
      </c>
      <c r="C493" t="s">
        <v>48</v>
      </c>
      <c r="D493">
        <v>53</v>
      </c>
      <c r="E493">
        <v>67</v>
      </c>
    </row>
    <row r="494" spans="1:5" x14ac:dyDescent="0.25">
      <c r="A494">
        <v>14</v>
      </c>
      <c r="B494">
        <v>21</v>
      </c>
      <c r="C494">
        <v>36</v>
      </c>
      <c r="D494">
        <v>46</v>
      </c>
      <c r="E494">
        <v>68</v>
      </c>
    </row>
    <row r="495" spans="1:5" x14ac:dyDescent="0.25">
      <c r="A495">
        <v>10</v>
      </c>
      <c r="B495">
        <v>22</v>
      </c>
      <c r="C495">
        <v>38</v>
      </c>
      <c r="D495">
        <v>55</v>
      </c>
      <c r="E495">
        <v>63</v>
      </c>
    </row>
    <row r="496" spans="1:5" x14ac:dyDescent="0.25">
      <c r="A496" t="s">
        <v>10</v>
      </c>
      <c r="B496" s="7">
        <v>62</v>
      </c>
      <c r="D496" s="144" t="s">
        <v>144</v>
      </c>
      <c r="E496" s="144"/>
    </row>
    <row r="498" spans="1:5" x14ac:dyDescent="0.25">
      <c r="A498" t="s">
        <v>0</v>
      </c>
      <c r="B498" t="s">
        <v>1</v>
      </c>
      <c r="C498" t="s">
        <v>2</v>
      </c>
      <c r="D498" t="s">
        <v>3</v>
      </c>
      <c r="E498" t="s">
        <v>4</v>
      </c>
    </row>
    <row r="499" spans="1:5" x14ac:dyDescent="0.25">
      <c r="A499">
        <v>9</v>
      </c>
      <c r="B499">
        <v>24</v>
      </c>
      <c r="C499">
        <v>35</v>
      </c>
      <c r="D499">
        <v>49</v>
      </c>
      <c r="E499">
        <v>64</v>
      </c>
    </row>
    <row r="500" spans="1:5" x14ac:dyDescent="0.25">
      <c r="A500">
        <v>4</v>
      </c>
      <c r="B500">
        <v>22</v>
      </c>
      <c r="C500">
        <v>40</v>
      </c>
      <c r="D500">
        <v>47</v>
      </c>
      <c r="E500">
        <v>66</v>
      </c>
    </row>
    <row r="501" spans="1:5" x14ac:dyDescent="0.25">
      <c r="A501">
        <v>8</v>
      </c>
      <c r="B501">
        <v>23</v>
      </c>
      <c r="C501" t="s">
        <v>48</v>
      </c>
      <c r="D501">
        <v>58</v>
      </c>
      <c r="E501">
        <v>74</v>
      </c>
    </row>
    <row r="502" spans="1:5" x14ac:dyDescent="0.25">
      <c r="A502">
        <v>12</v>
      </c>
      <c r="B502">
        <v>19</v>
      </c>
      <c r="C502">
        <v>43</v>
      </c>
      <c r="D502">
        <v>51</v>
      </c>
      <c r="E502">
        <v>65</v>
      </c>
    </row>
    <row r="503" spans="1:5" x14ac:dyDescent="0.25">
      <c r="A503">
        <v>1</v>
      </c>
      <c r="B503">
        <v>25</v>
      </c>
      <c r="C503">
        <v>36</v>
      </c>
      <c r="D503">
        <v>54</v>
      </c>
      <c r="E503">
        <v>62</v>
      </c>
    </row>
    <row r="504" spans="1:5" x14ac:dyDescent="0.25">
      <c r="A504" t="s">
        <v>10</v>
      </c>
      <c r="B504" s="7">
        <v>63</v>
      </c>
      <c r="D504" s="144" t="s">
        <v>144</v>
      </c>
      <c r="E504" s="144"/>
    </row>
    <row r="506" spans="1:5" x14ac:dyDescent="0.25">
      <c r="A506" t="s">
        <v>0</v>
      </c>
      <c r="B506" t="s">
        <v>1</v>
      </c>
      <c r="C506" t="s">
        <v>2</v>
      </c>
      <c r="D506" t="s">
        <v>3</v>
      </c>
      <c r="E506" t="s">
        <v>4</v>
      </c>
    </row>
    <row r="507" spans="1:5" x14ac:dyDescent="0.25">
      <c r="A507">
        <v>5</v>
      </c>
      <c r="B507">
        <v>19</v>
      </c>
      <c r="C507">
        <v>41</v>
      </c>
      <c r="D507">
        <v>53</v>
      </c>
      <c r="E507">
        <v>71</v>
      </c>
    </row>
    <row r="508" spans="1:5" x14ac:dyDescent="0.25">
      <c r="A508">
        <v>15</v>
      </c>
      <c r="B508">
        <v>25</v>
      </c>
      <c r="C508">
        <v>33</v>
      </c>
      <c r="D508">
        <v>55</v>
      </c>
      <c r="E508">
        <v>75</v>
      </c>
    </row>
    <row r="509" spans="1:5" x14ac:dyDescent="0.25">
      <c r="A509">
        <v>1</v>
      </c>
      <c r="B509">
        <v>18</v>
      </c>
      <c r="C509" t="s">
        <v>48</v>
      </c>
      <c r="D509">
        <v>56</v>
      </c>
      <c r="E509">
        <v>68</v>
      </c>
    </row>
    <row r="510" spans="1:5" x14ac:dyDescent="0.25">
      <c r="A510">
        <v>14</v>
      </c>
      <c r="B510">
        <v>23</v>
      </c>
      <c r="C510">
        <v>31</v>
      </c>
      <c r="D510">
        <v>52</v>
      </c>
      <c r="E510">
        <v>63</v>
      </c>
    </row>
    <row r="511" spans="1:5" x14ac:dyDescent="0.25">
      <c r="A511">
        <v>3</v>
      </c>
      <c r="B511">
        <v>17</v>
      </c>
      <c r="C511">
        <v>34</v>
      </c>
      <c r="D511">
        <v>50</v>
      </c>
      <c r="E511">
        <v>72</v>
      </c>
    </row>
    <row r="512" spans="1:5" x14ac:dyDescent="0.25">
      <c r="A512" t="s">
        <v>10</v>
      </c>
      <c r="B512" s="7">
        <v>64</v>
      </c>
      <c r="D512" s="144" t="s">
        <v>144</v>
      </c>
      <c r="E512" s="144"/>
    </row>
    <row r="514" spans="1:5" x14ac:dyDescent="0.25">
      <c r="A514" t="s">
        <v>0</v>
      </c>
      <c r="B514" t="s">
        <v>1</v>
      </c>
      <c r="C514" t="s">
        <v>2</v>
      </c>
      <c r="D514" t="s">
        <v>3</v>
      </c>
      <c r="E514" t="s">
        <v>4</v>
      </c>
    </row>
    <row r="515" spans="1:5" x14ac:dyDescent="0.25">
      <c r="A515">
        <v>3</v>
      </c>
      <c r="B515">
        <v>17</v>
      </c>
      <c r="C515">
        <v>41</v>
      </c>
      <c r="D515">
        <v>49</v>
      </c>
      <c r="E515">
        <v>62</v>
      </c>
    </row>
    <row r="516" spans="1:5" x14ac:dyDescent="0.25">
      <c r="A516">
        <v>10</v>
      </c>
      <c r="B516">
        <v>26</v>
      </c>
      <c r="C516">
        <v>40</v>
      </c>
      <c r="D516">
        <v>59</v>
      </c>
      <c r="E516">
        <v>64</v>
      </c>
    </row>
    <row r="517" spans="1:5" x14ac:dyDescent="0.25">
      <c r="A517">
        <v>4</v>
      </c>
      <c r="B517">
        <v>28</v>
      </c>
      <c r="C517" t="s">
        <v>48</v>
      </c>
      <c r="D517">
        <v>58</v>
      </c>
      <c r="E517">
        <v>69</v>
      </c>
    </row>
    <row r="518" spans="1:5" x14ac:dyDescent="0.25">
      <c r="A518">
        <v>13</v>
      </c>
      <c r="B518">
        <v>21</v>
      </c>
      <c r="C518">
        <v>44</v>
      </c>
      <c r="D518">
        <v>48</v>
      </c>
      <c r="E518">
        <v>68</v>
      </c>
    </row>
    <row r="519" spans="1:5" x14ac:dyDescent="0.25">
      <c r="A519">
        <v>8</v>
      </c>
      <c r="B519">
        <v>18</v>
      </c>
      <c r="C519">
        <v>43</v>
      </c>
      <c r="D519">
        <v>47</v>
      </c>
      <c r="E519">
        <v>65</v>
      </c>
    </row>
    <row r="520" spans="1:5" x14ac:dyDescent="0.25">
      <c r="A520" t="s">
        <v>10</v>
      </c>
      <c r="B520" s="7">
        <v>65</v>
      </c>
      <c r="D520" s="144" t="s">
        <v>144</v>
      </c>
      <c r="E520" s="144"/>
    </row>
    <row r="522" spans="1:5" x14ac:dyDescent="0.25">
      <c r="A522" t="s">
        <v>0</v>
      </c>
      <c r="B522" t="s">
        <v>1</v>
      </c>
      <c r="C522" t="s">
        <v>2</v>
      </c>
      <c r="D522" t="s">
        <v>3</v>
      </c>
      <c r="E522" t="s">
        <v>4</v>
      </c>
    </row>
    <row r="523" spans="1:5" x14ac:dyDescent="0.25">
      <c r="A523">
        <v>10</v>
      </c>
      <c r="B523">
        <v>24</v>
      </c>
      <c r="C523">
        <v>35</v>
      </c>
      <c r="D523">
        <v>47</v>
      </c>
      <c r="E523">
        <v>71</v>
      </c>
    </row>
    <row r="524" spans="1:5" x14ac:dyDescent="0.25">
      <c r="A524">
        <v>1</v>
      </c>
      <c r="B524">
        <v>29</v>
      </c>
      <c r="C524">
        <v>37</v>
      </c>
      <c r="D524">
        <v>49</v>
      </c>
      <c r="E524">
        <v>69</v>
      </c>
    </row>
    <row r="525" spans="1:5" x14ac:dyDescent="0.25">
      <c r="A525">
        <v>7</v>
      </c>
      <c r="B525">
        <v>23</v>
      </c>
      <c r="C525" t="s">
        <v>48</v>
      </c>
      <c r="D525">
        <v>58</v>
      </c>
      <c r="E525">
        <v>74</v>
      </c>
    </row>
    <row r="526" spans="1:5" x14ac:dyDescent="0.25">
      <c r="A526">
        <v>2</v>
      </c>
      <c r="B526">
        <v>19</v>
      </c>
      <c r="C526">
        <v>44</v>
      </c>
      <c r="D526">
        <v>46</v>
      </c>
      <c r="E526">
        <v>72</v>
      </c>
    </row>
    <row r="527" spans="1:5" x14ac:dyDescent="0.25">
      <c r="A527">
        <v>9</v>
      </c>
      <c r="B527">
        <v>30</v>
      </c>
      <c r="C527">
        <v>42</v>
      </c>
      <c r="D527">
        <v>51</v>
      </c>
      <c r="E527">
        <v>70</v>
      </c>
    </row>
    <row r="528" spans="1:5" x14ac:dyDescent="0.25">
      <c r="A528" t="s">
        <v>10</v>
      </c>
      <c r="B528" s="7">
        <v>66</v>
      </c>
      <c r="D528" s="144" t="s">
        <v>144</v>
      </c>
      <c r="E528" s="144"/>
    </row>
    <row r="530" spans="1:5" x14ac:dyDescent="0.25">
      <c r="A530" t="s">
        <v>0</v>
      </c>
      <c r="B530" t="s">
        <v>1</v>
      </c>
      <c r="C530" t="s">
        <v>2</v>
      </c>
      <c r="D530" t="s">
        <v>3</v>
      </c>
      <c r="E530" t="s">
        <v>4</v>
      </c>
    </row>
    <row r="531" spans="1:5" x14ac:dyDescent="0.25">
      <c r="A531">
        <v>12</v>
      </c>
      <c r="B531">
        <v>21</v>
      </c>
      <c r="C531">
        <v>43</v>
      </c>
      <c r="D531">
        <v>57</v>
      </c>
      <c r="E531">
        <v>64</v>
      </c>
    </row>
    <row r="532" spans="1:5" x14ac:dyDescent="0.25">
      <c r="A532">
        <v>15</v>
      </c>
      <c r="B532">
        <v>17</v>
      </c>
      <c r="C532">
        <v>34</v>
      </c>
      <c r="D532">
        <v>60</v>
      </c>
      <c r="E532">
        <v>71</v>
      </c>
    </row>
    <row r="533" spans="1:5" x14ac:dyDescent="0.25">
      <c r="A533">
        <v>5</v>
      </c>
      <c r="B533">
        <v>23</v>
      </c>
      <c r="C533" t="s">
        <v>48</v>
      </c>
      <c r="D533">
        <v>55</v>
      </c>
      <c r="E533">
        <v>72</v>
      </c>
    </row>
    <row r="534" spans="1:5" x14ac:dyDescent="0.25">
      <c r="A534">
        <v>9</v>
      </c>
      <c r="B534">
        <v>20</v>
      </c>
      <c r="C534">
        <v>32</v>
      </c>
      <c r="D534">
        <v>53</v>
      </c>
      <c r="E534">
        <v>63</v>
      </c>
    </row>
    <row r="535" spans="1:5" x14ac:dyDescent="0.25">
      <c r="A535">
        <v>11</v>
      </c>
      <c r="B535">
        <v>29</v>
      </c>
      <c r="C535">
        <v>36</v>
      </c>
      <c r="D535">
        <v>50</v>
      </c>
      <c r="E535">
        <v>65</v>
      </c>
    </row>
    <row r="536" spans="1:5" x14ac:dyDescent="0.25">
      <c r="A536" t="s">
        <v>10</v>
      </c>
      <c r="B536" s="7">
        <v>67</v>
      </c>
      <c r="D536" s="144" t="s">
        <v>144</v>
      </c>
      <c r="E536" s="144"/>
    </row>
    <row r="538" spans="1:5" x14ac:dyDescent="0.25">
      <c r="A538" t="s">
        <v>0</v>
      </c>
      <c r="B538" t="s">
        <v>1</v>
      </c>
      <c r="C538" t="s">
        <v>2</v>
      </c>
      <c r="D538" t="s">
        <v>3</v>
      </c>
      <c r="E538" t="s">
        <v>4</v>
      </c>
    </row>
    <row r="539" spans="1:5" x14ac:dyDescent="0.25">
      <c r="A539">
        <v>8</v>
      </c>
      <c r="B539">
        <v>28</v>
      </c>
      <c r="C539">
        <v>36</v>
      </c>
      <c r="D539">
        <v>57</v>
      </c>
      <c r="E539">
        <v>71</v>
      </c>
    </row>
    <row r="540" spans="1:5" x14ac:dyDescent="0.25">
      <c r="A540">
        <v>5</v>
      </c>
      <c r="B540">
        <v>20</v>
      </c>
      <c r="C540">
        <v>40</v>
      </c>
      <c r="D540">
        <v>46</v>
      </c>
      <c r="E540">
        <v>67</v>
      </c>
    </row>
    <row r="541" spans="1:5" x14ac:dyDescent="0.25">
      <c r="A541">
        <v>14</v>
      </c>
      <c r="B541">
        <v>21</v>
      </c>
      <c r="C541" t="s">
        <v>48</v>
      </c>
      <c r="D541">
        <v>51</v>
      </c>
      <c r="E541">
        <v>72</v>
      </c>
    </row>
    <row r="542" spans="1:5" x14ac:dyDescent="0.25">
      <c r="A542">
        <v>11</v>
      </c>
      <c r="B542">
        <v>26</v>
      </c>
      <c r="C542">
        <v>32</v>
      </c>
      <c r="D542">
        <v>56</v>
      </c>
      <c r="E542">
        <v>69</v>
      </c>
    </row>
    <row r="543" spans="1:5" x14ac:dyDescent="0.25">
      <c r="A543">
        <v>10</v>
      </c>
      <c r="B543">
        <v>23</v>
      </c>
      <c r="C543">
        <v>34</v>
      </c>
      <c r="D543">
        <v>53</v>
      </c>
      <c r="E543">
        <v>66</v>
      </c>
    </row>
    <row r="544" spans="1:5" x14ac:dyDescent="0.25">
      <c r="A544" t="s">
        <v>10</v>
      </c>
      <c r="B544" s="7">
        <v>68</v>
      </c>
      <c r="D544" s="144" t="s">
        <v>144</v>
      </c>
      <c r="E544" s="144"/>
    </row>
    <row r="546" spans="1:5" x14ac:dyDescent="0.25">
      <c r="A546" t="s">
        <v>0</v>
      </c>
      <c r="B546" t="s">
        <v>1</v>
      </c>
      <c r="C546" t="s">
        <v>2</v>
      </c>
      <c r="D546" t="s">
        <v>3</v>
      </c>
      <c r="E546" t="s">
        <v>4</v>
      </c>
    </row>
    <row r="547" spans="1:5" x14ac:dyDescent="0.25">
      <c r="A547">
        <v>2</v>
      </c>
      <c r="B547">
        <v>25</v>
      </c>
      <c r="C547">
        <v>41</v>
      </c>
      <c r="D547">
        <v>56</v>
      </c>
      <c r="E547">
        <v>72</v>
      </c>
    </row>
    <row r="548" spans="1:5" x14ac:dyDescent="0.25">
      <c r="A548">
        <v>9</v>
      </c>
      <c r="B548">
        <v>23</v>
      </c>
      <c r="C548">
        <v>43</v>
      </c>
      <c r="D548">
        <v>59</v>
      </c>
      <c r="E548">
        <v>64</v>
      </c>
    </row>
    <row r="549" spans="1:5" x14ac:dyDescent="0.25">
      <c r="A549">
        <v>7</v>
      </c>
      <c r="B549">
        <v>26</v>
      </c>
      <c r="C549" t="s">
        <v>48</v>
      </c>
      <c r="D549">
        <v>60</v>
      </c>
      <c r="E549">
        <v>70</v>
      </c>
    </row>
    <row r="550" spans="1:5" x14ac:dyDescent="0.25">
      <c r="A550">
        <v>6</v>
      </c>
      <c r="B550">
        <v>16</v>
      </c>
      <c r="C550">
        <v>40</v>
      </c>
      <c r="D550">
        <v>55</v>
      </c>
      <c r="E550">
        <v>68</v>
      </c>
    </row>
    <row r="551" spans="1:5" x14ac:dyDescent="0.25">
      <c r="A551">
        <v>10</v>
      </c>
      <c r="B551">
        <v>20</v>
      </c>
      <c r="C551">
        <v>31</v>
      </c>
      <c r="D551">
        <v>54</v>
      </c>
      <c r="E551">
        <v>66</v>
      </c>
    </row>
    <row r="552" spans="1:5" x14ac:dyDescent="0.25">
      <c r="A552" t="s">
        <v>10</v>
      </c>
      <c r="B552" s="7">
        <v>69</v>
      </c>
      <c r="D552" s="144" t="s">
        <v>144</v>
      </c>
      <c r="E552" s="144"/>
    </row>
    <row r="554" spans="1:5" x14ac:dyDescent="0.25">
      <c r="A554" t="s">
        <v>0</v>
      </c>
      <c r="B554" t="s">
        <v>1</v>
      </c>
      <c r="C554" t="s">
        <v>2</v>
      </c>
      <c r="D554" t="s">
        <v>3</v>
      </c>
      <c r="E554" t="s">
        <v>4</v>
      </c>
    </row>
    <row r="555" spans="1:5" x14ac:dyDescent="0.25">
      <c r="A555">
        <v>6</v>
      </c>
      <c r="B555">
        <v>25</v>
      </c>
      <c r="C555">
        <v>38</v>
      </c>
      <c r="D555">
        <v>48</v>
      </c>
      <c r="E555">
        <v>66</v>
      </c>
    </row>
    <row r="556" spans="1:5" x14ac:dyDescent="0.25">
      <c r="A556">
        <v>5</v>
      </c>
      <c r="B556">
        <v>27</v>
      </c>
      <c r="C556">
        <v>43</v>
      </c>
      <c r="D556">
        <v>47</v>
      </c>
      <c r="E556">
        <v>70</v>
      </c>
    </row>
    <row r="557" spans="1:5" x14ac:dyDescent="0.25">
      <c r="A557">
        <v>7</v>
      </c>
      <c r="B557">
        <v>22</v>
      </c>
      <c r="C557" t="s">
        <v>48</v>
      </c>
      <c r="D557">
        <v>56</v>
      </c>
      <c r="E557">
        <v>73</v>
      </c>
    </row>
    <row r="558" spans="1:5" x14ac:dyDescent="0.25">
      <c r="A558">
        <v>13</v>
      </c>
      <c r="B558">
        <v>16</v>
      </c>
      <c r="C558">
        <v>44</v>
      </c>
      <c r="D558">
        <v>49</v>
      </c>
      <c r="E558">
        <v>69</v>
      </c>
    </row>
    <row r="559" spans="1:5" x14ac:dyDescent="0.25">
      <c r="A559">
        <v>2</v>
      </c>
      <c r="B559">
        <v>24</v>
      </c>
      <c r="C559">
        <v>36</v>
      </c>
      <c r="D559">
        <v>52</v>
      </c>
      <c r="E559">
        <v>75</v>
      </c>
    </row>
    <row r="560" spans="1:5" x14ac:dyDescent="0.25">
      <c r="A560" t="s">
        <v>10</v>
      </c>
      <c r="B560" s="7">
        <v>70</v>
      </c>
      <c r="D560" s="144" t="s">
        <v>144</v>
      </c>
      <c r="E560" s="144"/>
    </row>
    <row r="562" spans="1:5" x14ac:dyDescent="0.25">
      <c r="A562" t="s">
        <v>0</v>
      </c>
      <c r="B562" t="s">
        <v>1</v>
      </c>
      <c r="C562" t="s">
        <v>2</v>
      </c>
      <c r="D562" t="s">
        <v>3</v>
      </c>
      <c r="E562" t="s">
        <v>4</v>
      </c>
    </row>
    <row r="563" spans="1:5" x14ac:dyDescent="0.25">
      <c r="A563">
        <v>15</v>
      </c>
      <c r="B563">
        <v>28</v>
      </c>
      <c r="C563">
        <v>43</v>
      </c>
      <c r="D563">
        <v>47</v>
      </c>
      <c r="E563">
        <v>69</v>
      </c>
    </row>
    <row r="564" spans="1:5" x14ac:dyDescent="0.25">
      <c r="A564">
        <v>9</v>
      </c>
      <c r="B564">
        <v>21</v>
      </c>
      <c r="C564">
        <v>37</v>
      </c>
      <c r="D564">
        <v>49</v>
      </c>
      <c r="E564">
        <v>73</v>
      </c>
    </row>
    <row r="565" spans="1:5" x14ac:dyDescent="0.25">
      <c r="A565">
        <v>7</v>
      </c>
      <c r="B565">
        <v>24</v>
      </c>
      <c r="C565" t="s">
        <v>48</v>
      </c>
      <c r="D565">
        <v>46</v>
      </c>
      <c r="E565">
        <v>61</v>
      </c>
    </row>
    <row r="566" spans="1:5" x14ac:dyDescent="0.25">
      <c r="A566">
        <v>10</v>
      </c>
      <c r="B566">
        <v>16</v>
      </c>
      <c r="C566">
        <v>42</v>
      </c>
      <c r="D566">
        <v>50</v>
      </c>
      <c r="E566">
        <v>71</v>
      </c>
    </row>
    <row r="567" spans="1:5" x14ac:dyDescent="0.25">
      <c r="A567">
        <v>4</v>
      </c>
      <c r="B567">
        <v>18</v>
      </c>
      <c r="C567">
        <v>38</v>
      </c>
      <c r="D567">
        <v>51</v>
      </c>
      <c r="E567">
        <v>64</v>
      </c>
    </row>
    <row r="568" spans="1:5" x14ac:dyDescent="0.25">
      <c r="A568" t="s">
        <v>10</v>
      </c>
      <c r="B568" s="7">
        <v>71</v>
      </c>
      <c r="D568" s="144" t="s">
        <v>144</v>
      </c>
      <c r="E568" s="144"/>
    </row>
    <row r="570" spans="1:5" x14ac:dyDescent="0.25">
      <c r="A570" t="s">
        <v>0</v>
      </c>
      <c r="B570" t="s">
        <v>1</v>
      </c>
      <c r="C570" t="s">
        <v>2</v>
      </c>
      <c r="D570" t="s">
        <v>3</v>
      </c>
      <c r="E570" t="s">
        <v>4</v>
      </c>
    </row>
    <row r="571" spans="1:5" x14ac:dyDescent="0.25">
      <c r="A571">
        <v>8</v>
      </c>
      <c r="B571">
        <v>19</v>
      </c>
      <c r="C571">
        <v>37</v>
      </c>
      <c r="D571">
        <v>46</v>
      </c>
      <c r="E571">
        <v>71</v>
      </c>
    </row>
    <row r="572" spans="1:5" x14ac:dyDescent="0.25">
      <c r="A572">
        <v>12</v>
      </c>
      <c r="B572">
        <v>21</v>
      </c>
      <c r="C572">
        <v>35</v>
      </c>
      <c r="D572">
        <v>57</v>
      </c>
      <c r="E572">
        <v>75</v>
      </c>
    </row>
    <row r="573" spans="1:5" x14ac:dyDescent="0.25">
      <c r="A573">
        <v>13</v>
      </c>
      <c r="B573">
        <v>27</v>
      </c>
      <c r="C573" t="s">
        <v>48</v>
      </c>
      <c r="D573">
        <v>53</v>
      </c>
      <c r="E573">
        <v>63</v>
      </c>
    </row>
    <row r="574" spans="1:5" x14ac:dyDescent="0.25">
      <c r="A574">
        <v>14</v>
      </c>
      <c r="B574">
        <v>28</v>
      </c>
      <c r="C574">
        <v>33</v>
      </c>
      <c r="D574">
        <v>58</v>
      </c>
      <c r="E574">
        <v>65</v>
      </c>
    </row>
    <row r="575" spans="1:5" x14ac:dyDescent="0.25">
      <c r="A575">
        <v>7</v>
      </c>
      <c r="B575">
        <v>18</v>
      </c>
      <c r="C575">
        <v>40</v>
      </c>
      <c r="D575">
        <v>59</v>
      </c>
      <c r="E575">
        <v>73</v>
      </c>
    </row>
    <row r="576" spans="1:5" x14ac:dyDescent="0.25">
      <c r="A576" t="s">
        <v>10</v>
      </c>
      <c r="B576" s="7">
        <v>72</v>
      </c>
      <c r="D576" s="144" t="s">
        <v>144</v>
      </c>
      <c r="E576" s="144"/>
    </row>
    <row r="578" spans="1:5" x14ac:dyDescent="0.25">
      <c r="A578" t="s">
        <v>0</v>
      </c>
      <c r="B578" t="s">
        <v>1</v>
      </c>
      <c r="C578" t="s">
        <v>2</v>
      </c>
      <c r="D578" t="s">
        <v>3</v>
      </c>
      <c r="E578" t="s">
        <v>4</v>
      </c>
    </row>
    <row r="579" spans="1:5" x14ac:dyDescent="0.25">
      <c r="A579">
        <v>15</v>
      </c>
      <c r="B579">
        <v>16</v>
      </c>
      <c r="C579">
        <v>32</v>
      </c>
      <c r="D579">
        <v>49</v>
      </c>
      <c r="E579">
        <v>72</v>
      </c>
    </row>
    <row r="580" spans="1:5" x14ac:dyDescent="0.25">
      <c r="A580">
        <v>12</v>
      </c>
      <c r="B580">
        <v>17</v>
      </c>
      <c r="C580">
        <v>44</v>
      </c>
      <c r="D580">
        <v>55</v>
      </c>
      <c r="E580">
        <v>69</v>
      </c>
    </row>
    <row r="581" spans="1:5" x14ac:dyDescent="0.25">
      <c r="A581">
        <v>1</v>
      </c>
      <c r="B581">
        <v>27</v>
      </c>
      <c r="C581" t="s">
        <v>48</v>
      </c>
      <c r="D581">
        <v>54</v>
      </c>
      <c r="E581">
        <v>74</v>
      </c>
    </row>
    <row r="582" spans="1:5" x14ac:dyDescent="0.25">
      <c r="A582">
        <v>6</v>
      </c>
      <c r="B582">
        <v>26</v>
      </c>
      <c r="C582">
        <v>41</v>
      </c>
      <c r="D582">
        <v>46</v>
      </c>
      <c r="E582">
        <v>73</v>
      </c>
    </row>
    <row r="583" spans="1:5" x14ac:dyDescent="0.25">
      <c r="A583">
        <v>4</v>
      </c>
      <c r="B583">
        <v>29</v>
      </c>
      <c r="C583">
        <v>42</v>
      </c>
      <c r="D583">
        <v>53</v>
      </c>
      <c r="E583">
        <v>71</v>
      </c>
    </row>
    <row r="584" spans="1:5" x14ac:dyDescent="0.25">
      <c r="A584" t="s">
        <v>10</v>
      </c>
      <c r="B584" s="7">
        <v>73</v>
      </c>
      <c r="D584" s="144" t="s">
        <v>144</v>
      </c>
      <c r="E584" s="144"/>
    </row>
    <row r="586" spans="1:5" x14ac:dyDescent="0.25">
      <c r="A586" t="s">
        <v>0</v>
      </c>
      <c r="B586" t="s">
        <v>1</v>
      </c>
      <c r="C586" t="s">
        <v>2</v>
      </c>
      <c r="D586" t="s">
        <v>3</v>
      </c>
      <c r="E586" t="s">
        <v>4</v>
      </c>
    </row>
    <row r="587" spans="1:5" x14ac:dyDescent="0.25">
      <c r="A587">
        <v>9</v>
      </c>
      <c r="B587">
        <v>27</v>
      </c>
      <c r="C587">
        <v>43</v>
      </c>
      <c r="D587">
        <v>50</v>
      </c>
      <c r="E587">
        <v>72</v>
      </c>
    </row>
    <row r="588" spans="1:5" x14ac:dyDescent="0.25">
      <c r="A588">
        <v>1</v>
      </c>
      <c r="B588">
        <v>25</v>
      </c>
      <c r="C588">
        <v>42</v>
      </c>
      <c r="D588">
        <v>47</v>
      </c>
      <c r="E588">
        <v>75</v>
      </c>
    </row>
    <row r="589" spans="1:5" x14ac:dyDescent="0.25">
      <c r="A589">
        <v>2</v>
      </c>
      <c r="B589">
        <v>30</v>
      </c>
      <c r="C589" t="s">
        <v>48</v>
      </c>
      <c r="D589">
        <v>56</v>
      </c>
      <c r="E589">
        <v>67</v>
      </c>
    </row>
    <row r="590" spans="1:5" x14ac:dyDescent="0.25">
      <c r="A590">
        <v>10</v>
      </c>
      <c r="B590">
        <v>21</v>
      </c>
      <c r="C590">
        <v>39</v>
      </c>
      <c r="D590">
        <v>58</v>
      </c>
      <c r="E590">
        <v>70</v>
      </c>
    </row>
    <row r="591" spans="1:5" x14ac:dyDescent="0.25">
      <c r="A591">
        <v>4</v>
      </c>
      <c r="B591">
        <v>16</v>
      </c>
      <c r="C591">
        <v>34</v>
      </c>
      <c r="D591">
        <v>46</v>
      </c>
      <c r="E591">
        <v>63</v>
      </c>
    </row>
    <row r="592" spans="1:5" x14ac:dyDescent="0.25">
      <c r="A592" t="s">
        <v>10</v>
      </c>
      <c r="B592" s="7">
        <v>74</v>
      </c>
      <c r="D592" s="144" t="s">
        <v>144</v>
      </c>
      <c r="E592" s="144"/>
    </row>
    <row r="594" spans="1:5" x14ac:dyDescent="0.25">
      <c r="A594" t="s">
        <v>0</v>
      </c>
      <c r="B594" t="s">
        <v>1</v>
      </c>
      <c r="C594" t="s">
        <v>2</v>
      </c>
      <c r="D594" t="s">
        <v>3</v>
      </c>
      <c r="E594" t="s">
        <v>4</v>
      </c>
    </row>
    <row r="595" spans="1:5" x14ac:dyDescent="0.25">
      <c r="A595">
        <v>3</v>
      </c>
      <c r="B595">
        <v>23</v>
      </c>
      <c r="C595">
        <v>37</v>
      </c>
      <c r="D595">
        <v>56</v>
      </c>
      <c r="E595">
        <v>68</v>
      </c>
    </row>
    <row r="596" spans="1:5" x14ac:dyDescent="0.25">
      <c r="A596">
        <v>13</v>
      </c>
      <c r="B596">
        <v>21</v>
      </c>
      <c r="C596">
        <v>32</v>
      </c>
      <c r="D596">
        <v>52</v>
      </c>
      <c r="E596">
        <v>72</v>
      </c>
    </row>
    <row r="597" spans="1:5" x14ac:dyDescent="0.25">
      <c r="A597">
        <v>10</v>
      </c>
      <c r="B597">
        <v>20</v>
      </c>
      <c r="C597" t="s">
        <v>48</v>
      </c>
      <c r="D597">
        <v>49</v>
      </c>
      <c r="E597">
        <v>75</v>
      </c>
    </row>
    <row r="598" spans="1:5" x14ac:dyDescent="0.25">
      <c r="A598">
        <v>8</v>
      </c>
      <c r="B598">
        <v>27</v>
      </c>
      <c r="C598">
        <v>36</v>
      </c>
      <c r="D598">
        <v>55</v>
      </c>
      <c r="E598">
        <v>62</v>
      </c>
    </row>
    <row r="599" spans="1:5" x14ac:dyDescent="0.25">
      <c r="A599">
        <v>12</v>
      </c>
      <c r="B599">
        <v>25</v>
      </c>
      <c r="C599">
        <v>34</v>
      </c>
      <c r="D599">
        <v>60</v>
      </c>
      <c r="E599">
        <v>64</v>
      </c>
    </row>
    <row r="600" spans="1:5" x14ac:dyDescent="0.25">
      <c r="A600" t="s">
        <v>10</v>
      </c>
      <c r="B600" s="7">
        <v>75</v>
      </c>
      <c r="D600" s="144" t="s">
        <v>144</v>
      </c>
      <c r="E600" s="144"/>
    </row>
    <row r="602" spans="1:5" x14ac:dyDescent="0.25">
      <c r="A602" t="s">
        <v>0</v>
      </c>
      <c r="B602" t="s">
        <v>1</v>
      </c>
      <c r="C602" t="s">
        <v>2</v>
      </c>
      <c r="D602" t="s">
        <v>3</v>
      </c>
      <c r="E602" t="s">
        <v>4</v>
      </c>
    </row>
    <row r="603" spans="1:5" x14ac:dyDescent="0.25">
      <c r="A603">
        <v>3</v>
      </c>
      <c r="B603">
        <v>25</v>
      </c>
      <c r="C603">
        <v>44</v>
      </c>
      <c r="D603">
        <v>48</v>
      </c>
      <c r="E603">
        <v>62</v>
      </c>
    </row>
    <row r="604" spans="1:5" x14ac:dyDescent="0.25">
      <c r="A604">
        <v>12</v>
      </c>
      <c r="B604">
        <v>23</v>
      </c>
      <c r="C604">
        <v>40</v>
      </c>
      <c r="D604">
        <v>57</v>
      </c>
      <c r="E604">
        <v>66</v>
      </c>
    </row>
    <row r="605" spans="1:5" x14ac:dyDescent="0.25">
      <c r="A605">
        <v>14</v>
      </c>
      <c r="B605">
        <v>28</v>
      </c>
      <c r="C605" t="s">
        <v>48</v>
      </c>
      <c r="D605">
        <v>46</v>
      </c>
      <c r="E605">
        <v>65</v>
      </c>
    </row>
    <row r="606" spans="1:5" x14ac:dyDescent="0.25">
      <c r="A606">
        <v>2</v>
      </c>
      <c r="B606">
        <v>29</v>
      </c>
      <c r="C606">
        <v>43</v>
      </c>
      <c r="D606">
        <v>58</v>
      </c>
      <c r="E606">
        <v>61</v>
      </c>
    </row>
    <row r="607" spans="1:5" x14ac:dyDescent="0.25">
      <c r="A607">
        <v>7</v>
      </c>
      <c r="B607">
        <v>27</v>
      </c>
      <c r="C607">
        <v>35</v>
      </c>
      <c r="D607">
        <v>47</v>
      </c>
      <c r="E607">
        <v>71</v>
      </c>
    </row>
    <row r="608" spans="1:5" x14ac:dyDescent="0.25">
      <c r="A608" t="s">
        <v>10</v>
      </c>
      <c r="B608" s="7">
        <v>76</v>
      </c>
      <c r="D608" s="144" t="s">
        <v>144</v>
      </c>
      <c r="E608" s="144"/>
    </row>
    <row r="610" spans="1:5" x14ac:dyDescent="0.25">
      <c r="A610" t="s">
        <v>0</v>
      </c>
      <c r="B610" t="s">
        <v>1</v>
      </c>
      <c r="C610" t="s">
        <v>2</v>
      </c>
      <c r="D610" t="s">
        <v>3</v>
      </c>
      <c r="E610" t="s">
        <v>4</v>
      </c>
    </row>
    <row r="611" spans="1:5" x14ac:dyDescent="0.25">
      <c r="A611">
        <v>15</v>
      </c>
      <c r="B611">
        <v>30</v>
      </c>
      <c r="C611">
        <v>41</v>
      </c>
      <c r="D611">
        <v>57</v>
      </c>
      <c r="E611">
        <v>68</v>
      </c>
    </row>
    <row r="612" spans="1:5" x14ac:dyDescent="0.25">
      <c r="A612">
        <v>11</v>
      </c>
      <c r="B612">
        <v>25</v>
      </c>
      <c r="C612">
        <v>38</v>
      </c>
      <c r="D612">
        <v>59</v>
      </c>
      <c r="E612">
        <v>65</v>
      </c>
    </row>
    <row r="613" spans="1:5" x14ac:dyDescent="0.25">
      <c r="A613">
        <v>6</v>
      </c>
      <c r="B613">
        <v>26</v>
      </c>
      <c r="C613" t="s">
        <v>48</v>
      </c>
      <c r="D613">
        <v>50</v>
      </c>
      <c r="E613">
        <v>61</v>
      </c>
    </row>
    <row r="614" spans="1:5" x14ac:dyDescent="0.25">
      <c r="A614">
        <v>10</v>
      </c>
      <c r="B614">
        <v>20</v>
      </c>
      <c r="C614">
        <v>33</v>
      </c>
      <c r="D614">
        <v>49</v>
      </c>
      <c r="E614">
        <v>69</v>
      </c>
    </row>
    <row r="615" spans="1:5" x14ac:dyDescent="0.25">
      <c r="A615">
        <v>13</v>
      </c>
      <c r="B615">
        <v>17</v>
      </c>
      <c r="C615">
        <v>34</v>
      </c>
      <c r="D615">
        <v>47</v>
      </c>
      <c r="E615">
        <v>73</v>
      </c>
    </row>
    <row r="616" spans="1:5" x14ac:dyDescent="0.25">
      <c r="A616" t="s">
        <v>10</v>
      </c>
      <c r="B616" s="7">
        <v>77</v>
      </c>
      <c r="D616" s="144" t="s">
        <v>144</v>
      </c>
      <c r="E616" s="144"/>
    </row>
    <row r="618" spans="1:5" x14ac:dyDescent="0.25">
      <c r="A618" t="s">
        <v>0</v>
      </c>
      <c r="B618" t="s">
        <v>1</v>
      </c>
      <c r="C618" t="s">
        <v>2</v>
      </c>
      <c r="D618" t="s">
        <v>3</v>
      </c>
      <c r="E618" t="s">
        <v>4</v>
      </c>
    </row>
    <row r="619" spans="1:5" x14ac:dyDescent="0.25">
      <c r="A619">
        <v>2</v>
      </c>
      <c r="B619">
        <v>29</v>
      </c>
      <c r="C619">
        <v>34</v>
      </c>
      <c r="D619">
        <v>58</v>
      </c>
      <c r="E619">
        <v>72</v>
      </c>
    </row>
    <row r="620" spans="1:5" x14ac:dyDescent="0.25">
      <c r="A620">
        <v>1</v>
      </c>
      <c r="B620">
        <v>28</v>
      </c>
      <c r="C620">
        <v>45</v>
      </c>
      <c r="D620">
        <v>55</v>
      </c>
      <c r="E620">
        <v>74</v>
      </c>
    </row>
    <row r="621" spans="1:5" x14ac:dyDescent="0.25">
      <c r="A621">
        <v>8</v>
      </c>
      <c r="B621">
        <v>23</v>
      </c>
      <c r="C621" t="s">
        <v>48</v>
      </c>
      <c r="D621">
        <v>49</v>
      </c>
      <c r="E621">
        <v>75</v>
      </c>
    </row>
    <row r="622" spans="1:5" x14ac:dyDescent="0.25">
      <c r="A622">
        <v>14</v>
      </c>
      <c r="B622">
        <v>21</v>
      </c>
      <c r="C622">
        <v>36</v>
      </c>
      <c r="D622">
        <v>52</v>
      </c>
      <c r="E622">
        <v>68</v>
      </c>
    </row>
    <row r="623" spans="1:5" x14ac:dyDescent="0.25">
      <c r="A623">
        <v>12</v>
      </c>
      <c r="B623">
        <v>25</v>
      </c>
      <c r="C623">
        <v>40</v>
      </c>
      <c r="D623">
        <v>51</v>
      </c>
      <c r="E623">
        <v>67</v>
      </c>
    </row>
    <row r="624" spans="1:5" x14ac:dyDescent="0.25">
      <c r="A624" t="s">
        <v>10</v>
      </c>
      <c r="B624" s="7">
        <v>78</v>
      </c>
      <c r="D624" s="144" t="s">
        <v>144</v>
      </c>
      <c r="E624" s="144"/>
    </row>
    <row r="626" spans="1:5" x14ac:dyDescent="0.25">
      <c r="A626" t="s">
        <v>0</v>
      </c>
      <c r="B626" t="s">
        <v>1</v>
      </c>
      <c r="C626" t="s">
        <v>2</v>
      </c>
      <c r="D626" t="s">
        <v>3</v>
      </c>
      <c r="E626" t="s">
        <v>4</v>
      </c>
    </row>
    <row r="627" spans="1:5" x14ac:dyDescent="0.25">
      <c r="A627">
        <v>12</v>
      </c>
      <c r="B627">
        <v>21</v>
      </c>
      <c r="C627">
        <v>43</v>
      </c>
      <c r="D627">
        <v>47</v>
      </c>
      <c r="E627">
        <v>71</v>
      </c>
    </row>
    <row r="628" spans="1:5" x14ac:dyDescent="0.25">
      <c r="A628">
        <v>15</v>
      </c>
      <c r="B628">
        <v>30</v>
      </c>
      <c r="C628">
        <v>31</v>
      </c>
      <c r="D628">
        <v>54</v>
      </c>
      <c r="E628">
        <v>73</v>
      </c>
    </row>
    <row r="629" spans="1:5" x14ac:dyDescent="0.25">
      <c r="A629">
        <v>13</v>
      </c>
      <c r="B629">
        <v>25</v>
      </c>
      <c r="C629" t="s">
        <v>48</v>
      </c>
      <c r="D629">
        <v>60</v>
      </c>
      <c r="E629">
        <v>69</v>
      </c>
    </row>
    <row r="630" spans="1:5" x14ac:dyDescent="0.25">
      <c r="A630">
        <v>8</v>
      </c>
      <c r="B630">
        <v>23</v>
      </c>
      <c r="C630">
        <v>36</v>
      </c>
      <c r="D630">
        <v>46</v>
      </c>
      <c r="E630">
        <v>62</v>
      </c>
    </row>
    <row r="631" spans="1:5" x14ac:dyDescent="0.25">
      <c r="A631">
        <v>3</v>
      </c>
      <c r="B631">
        <v>17</v>
      </c>
      <c r="C631">
        <v>34</v>
      </c>
      <c r="D631">
        <v>52</v>
      </c>
      <c r="E631">
        <v>66</v>
      </c>
    </row>
    <row r="632" spans="1:5" x14ac:dyDescent="0.25">
      <c r="A632" t="s">
        <v>10</v>
      </c>
      <c r="B632" s="7">
        <v>79</v>
      </c>
      <c r="D632" s="144" t="s">
        <v>144</v>
      </c>
      <c r="E632" s="144"/>
    </row>
    <row r="634" spans="1:5" x14ac:dyDescent="0.25">
      <c r="A634" t="s">
        <v>0</v>
      </c>
      <c r="B634" t="s">
        <v>1</v>
      </c>
      <c r="C634" t="s">
        <v>2</v>
      </c>
      <c r="D634" t="s">
        <v>3</v>
      </c>
      <c r="E634" t="s">
        <v>4</v>
      </c>
    </row>
    <row r="635" spans="1:5" x14ac:dyDescent="0.25">
      <c r="A635">
        <v>7</v>
      </c>
      <c r="B635">
        <v>27</v>
      </c>
      <c r="C635">
        <v>32</v>
      </c>
      <c r="D635">
        <v>47</v>
      </c>
      <c r="E635">
        <v>72</v>
      </c>
    </row>
    <row r="636" spans="1:5" x14ac:dyDescent="0.25">
      <c r="A636">
        <v>15</v>
      </c>
      <c r="B636">
        <v>20</v>
      </c>
      <c r="C636">
        <v>37</v>
      </c>
      <c r="D636">
        <v>52</v>
      </c>
      <c r="E636">
        <v>71</v>
      </c>
    </row>
    <row r="637" spans="1:5" x14ac:dyDescent="0.25">
      <c r="A637">
        <v>8</v>
      </c>
      <c r="B637">
        <v>16</v>
      </c>
      <c r="C637" t="s">
        <v>48</v>
      </c>
      <c r="D637">
        <v>54</v>
      </c>
      <c r="E637">
        <v>70</v>
      </c>
    </row>
    <row r="638" spans="1:5" x14ac:dyDescent="0.25">
      <c r="A638">
        <v>9</v>
      </c>
      <c r="B638">
        <v>22</v>
      </c>
      <c r="C638">
        <v>42</v>
      </c>
      <c r="D638">
        <v>55</v>
      </c>
      <c r="E638">
        <v>62</v>
      </c>
    </row>
    <row r="639" spans="1:5" x14ac:dyDescent="0.25">
      <c r="A639">
        <v>13</v>
      </c>
      <c r="B639">
        <v>17</v>
      </c>
      <c r="C639">
        <v>39</v>
      </c>
      <c r="D639">
        <v>48</v>
      </c>
      <c r="E639">
        <v>64</v>
      </c>
    </row>
    <row r="640" spans="1:5" x14ac:dyDescent="0.25">
      <c r="A640" t="s">
        <v>10</v>
      </c>
      <c r="B640" s="7">
        <v>80</v>
      </c>
      <c r="D640" s="144" t="s">
        <v>144</v>
      </c>
      <c r="E640" s="144"/>
    </row>
    <row r="642" spans="1:5" x14ac:dyDescent="0.25">
      <c r="A642" t="s">
        <v>0</v>
      </c>
      <c r="B642" t="s">
        <v>1</v>
      </c>
      <c r="C642" t="s">
        <v>2</v>
      </c>
      <c r="D642" t="s">
        <v>3</v>
      </c>
      <c r="E642" t="s">
        <v>4</v>
      </c>
    </row>
    <row r="643" spans="1:5" x14ac:dyDescent="0.25">
      <c r="A643">
        <v>14</v>
      </c>
      <c r="B643">
        <v>29</v>
      </c>
      <c r="C643">
        <v>31</v>
      </c>
      <c r="D643">
        <v>56</v>
      </c>
      <c r="E643">
        <v>73</v>
      </c>
    </row>
    <row r="644" spans="1:5" x14ac:dyDescent="0.25">
      <c r="A644">
        <v>12</v>
      </c>
      <c r="B644">
        <v>30</v>
      </c>
      <c r="C644">
        <v>45</v>
      </c>
      <c r="D644">
        <v>57</v>
      </c>
      <c r="E644">
        <v>70</v>
      </c>
    </row>
    <row r="645" spans="1:5" x14ac:dyDescent="0.25">
      <c r="A645">
        <v>8</v>
      </c>
      <c r="B645">
        <v>19</v>
      </c>
      <c r="C645" t="s">
        <v>48</v>
      </c>
      <c r="D645">
        <v>53</v>
      </c>
      <c r="E645">
        <v>68</v>
      </c>
    </row>
    <row r="646" spans="1:5" x14ac:dyDescent="0.25">
      <c r="A646">
        <v>13</v>
      </c>
      <c r="B646">
        <v>26</v>
      </c>
      <c r="C646">
        <v>33</v>
      </c>
      <c r="D646">
        <v>55</v>
      </c>
      <c r="E646">
        <v>72</v>
      </c>
    </row>
    <row r="647" spans="1:5" x14ac:dyDescent="0.25">
      <c r="A647">
        <v>6</v>
      </c>
      <c r="B647">
        <v>22</v>
      </c>
      <c r="C647">
        <v>41</v>
      </c>
      <c r="D647">
        <v>50</v>
      </c>
      <c r="E647">
        <v>62</v>
      </c>
    </row>
    <row r="648" spans="1:5" x14ac:dyDescent="0.25">
      <c r="A648" t="s">
        <v>10</v>
      </c>
      <c r="B648" s="7">
        <v>81</v>
      </c>
      <c r="D648" s="144" t="s">
        <v>144</v>
      </c>
      <c r="E648" s="144"/>
    </row>
    <row r="650" spans="1:5" x14ac:dyDescent="0.25">
      <c r="A650" t="s">
        <v>0</v>
      </c>
      <c r="B650" t="s">
        <v>1</v>
      </c>
      <c r="C650" t="s">
        <v>2</v>
      </c>
      <c r="D650" t="s">
        <v>3</v>
      </c>
      <c r="E650" t="s">
        <v>4</v>
      </c>
    </row>
    <row r="651" spans="1:5" x14ac:dyDescent="0.25">
      <c r="A651">
        <v>7</v>
      </c>
      <c r="B651">
        <v>30</v>
      </c>
      <c r="C651">
        <v>39</v>
      </c>
      <c r="D651">
        <v>56</v>
      </c>
      <c r="E651">
        <v>71</v>
      </c>
    </row>
    <row r="652" spans="1:5" x14ac:dyDescent="0.25">
      <c r="A652">
        <v>6</v>
      </c>
      <c r="B652">
        <v>22</v>
      </c>
      <c r="C652">
        <v>31</v>
      </c>
      <c r="D652">
        <v>47</v>
      </c>
      <c r="E652">
        <v>66</v>
      </c>
    </row>
    <row r="653" spans="1:5" x14ac:dyDescent="0.25">
      <c r="A653">
        <v>4</v>
      </c>
      <c r="B653">
        <v>27</v>
      </c>
      <c r="C653" t="s">
        <v>48</v>
      </c>
      <c r="D653">
        <v>46</v>
      </c>
      <c r="E653">
        <v>64</v>
      </c>
    </row>
    <row r="654" spans="1:5" x14ac:dyDescent="0.25">
      <c r="A654">
        <v>3</v>
      </c>
      <c r="B654">
        <v>16</v>
      </c>
      <c r="C654">
        <v>37</v>
      </c>
      <c r="D654">
        <v>53</v>
      </c>
      <c r="E654">
        <v>74</v>
      </c>
    </row>
    <row r="655" spans="1:5" x14ac:dyDescent="0.25">
      <c r="A655">
        <v>14</v>
      </c>
      <c r="B655">
        <v>17</v>
      </c>
      <c r="C655">
        <v>41</v>
      </c>
      <c r="D655">
        <v>59</v>
      </c>
      <c r="E655">
        <v>73</v>
      </c>
    </row>
    <row r="656" spans="1:5" x14ac:dyDescent="0.25">
      <c r="A656" t="s">
        <v>10</v>
      </c>
      <c r="B656" s="7">
        <v>82</v>
      </c>
      <c r="D656" s="144" t="s">
        <v>144</v>
      </c>
      <c r="E656" s="144"/>
    </row>
    <row r="658" spans="1:5" x14ac:dyDescent="0.25">
      <c r="A658" t="s">
        <v>0</v>
      </c>
      <c r="B658" t="s">
        <v>1</v>
      </c>
      <c r="C658" t="s">
        <v>2</v>
      </c>
      <c r="D658" t="s">
        <v>3</v>
      </c>
      <c r="E658" t="s">
        <v>4</v>
      </c>
    </row>
    <row r="659" spans="1:5" x14ac:dyDescent="0.25">
      <c r="A659">
        <v>7</v>
      </c>
      <c r="B659">
        <v>20</v>
      </c>
      <c r="C659">
        <v>32</v>
      </c>
      <c r="D659">
        <v>57</v>
      </c>
      <c r="E659">
        <v>68</v>
      </c>
    </row>
    <row r="660" spans="1:5" x14ac:dyDescent="0.25">
      <c r="A660">
        <v>8</v>
      </c>
      <c r="B660">
        <v>22</v>
      </c>
      <c r="C660">
        <v>35</v>
      </c>
      <c r="D660">
        <v>56</v>
      </c>
      <c r="E660">
        <v>75</v>
      </c>
    </row>
    <row r="661" spans="1:5" x14ac:dyDescent="0.25">
      <c r="A661">
        <v>10</v>
      </c>
      <c r="B661">
        <v>24</v>
      </c>
      <c r="C661" t="s">
        <v>48</v>
      </c>
      <c r="D661">
        <v>58</v>
      </c>
      <c r="E661">
        <v>70</v>
      </c>
    </row>
    <row r="662" spans="1:5" x14ac:dyDescent="0.25">
      <c r="A662">
        <v>9</v>
      </c>
      <c r="B662">
        <v>23</v>
      </c>
      <c r="C662">
        <v>43</v>
      </c>
      <c r="D662">
        <v>55</v>
      </c>
      <c r="E662">
        <v>62</v>
      </c>
    </row>
    <row r="663" spans="1:5" x14ac:dyDescent="0.25">
      <c r="A663">
        <v>12</v>
      </c>
      <c r="B663">
        <v>18</v>
      </c>
      <c r="C663">
        <v>40</v>
      </c>
      <c r="D663">
        <v>49</v>
      </c>
      <c r="E663">
        <v>73</v>
      </c>
    </row>
    <row r="664" spans="1:5" x14ac:dyDescent="0.25">
      <c r="A664" t="s">
        <v>10</v>
      </c>
      <c r="B664" s="7">
        <v>83</v>
      </c>
      <c r="D664" s="144" t="s">
        <v>144</v>
      </c>
      <c r="E664" s="144"/>
    </row>
    <row r="666" spans="1:5" x14ac:dyDescent="0.25">
      <c r="A666" t="s">
        <v>0</v>
      </c>
      <c r="B666" t="s">
        <v>1</v>
      </c>
      <c r="C666" t="s">
        <v>2</v>
      </c>
      <c r="D666" t="s">
        <v>3</v>
      </c>
      <c r="E666" t="s">
        <v>4</v>
      </c>
    </row>
    <row r="667" spans="1:5" x14ac:dyDescent="0.25">
      <c r="A667">
        <v>1</v>
      </c>
      <c r="B667">
        <v>26</v>
      </c>
      <c r="C667">
        <v>35</v>
      </c>
      <c r="D667">
        <v>55</v>
      </c>
      <c r="E667">
        <v>72</v>
      </c>
    </row>
    <row r="668" spans="1:5" x14ac:dyDescent="0.25">
      <c r="A668">
        <v>12</v>
      </c>
      <c r="B668">
        <v>30</v>
      </c>
      <c r="C668">
        <v>42</v>
      </c>
      <c r="D668">
        <v>48</v>
      </c>
      <c r="E668">
        <v>67</v>
      </c>
    </row>
    <row r="669" spans="1:5" x14ac:dyDescent="0.25">
      <c r="A669">
        <v>6</v>
      </c>
      <c r="B669">
        <v>21</v>
      </c>
      <c r="C669" t="s">
        <v>48</v>
      </c>
      <c r="D669">
        <v>49</v>
      </c>
      <c r="E669">
        <v>64</v>
      </c>
    </row>
    <row r="670" spans="1:5" x14ac:dyDescent="0.25">
      <c r="A670">
        <v>2</v>
      </c>
      <c r="B670">
        <v>24</v>
      </c>
      <c r="C670">
        <v>34</v>
      </c>
      <c r="D670">
        <v>54</v>
      </c>
      <c r="E670">
        <v>65</v>
      </c>
    </row>
    <row r="671" spans="1:5" x14ac:dyDescent="0.25">
      <c r="A671">
        <v>11</v>
      </c>
      <c r="B671">
        <v>22</v>
      </c>
      <c r="C671">
        <v>31</v>
      </c>
      <c r="D671">
        <v>46</v>
      </c>
      <c r="E671">
        <v>61</v>
      </c>
    </row>
    <row r="672" spans="1:5" x14ac:dyDescent="0.25">
      <c r="A672" t="s">
        <v>10</v>
      </c>
      <c r="B672" s="7">
        <v>84</v>
      </c>
      <c r="D672" s="144" t="s">
        <v>144</v>
      </c>
      <c r="E672" s="144"/>
    </row>
    <row r="674" spans="1:5" x14ac:dyDescent="0.25">
      <c r="A674" t="s">
        <v>0</v>
      </c>
      <c r="B674" t="s">
        <v>1</v>
      </c>
      <c r="C674" t="s">
        <v>2</v>
      </c>
      <c r="D674" t="s">
        <v>3</v>
      </c>
      <c r="E674" t="s">
        <v>4</v>
      </c>
    </row>
    <row r="675" spans="1:5" x14ac:dyDescent="0.25">
      <c r="A675">
        <v>2</v>
      </c>
      <c r="B675">
        <v>19</v>
      </c>
      <c r="C675">
        <v>37</v>
      </c>
      <c r="D675">
        <v>49</v>
      </c>
      <c r="E675">
        <v>61</v>
      </c>
    </row>
    <row r="676" spans="1:5" x14ac:dyDescent="0.25">
      <c r="A676">
        <v>1</v>
      </c>
      <c r="B676">
        <v>23</v>
      </c>
      <c r="C676">
        <v>33</v>
      </c>
      <c r="D676">
        <v>53</v>
      </c>
      <c r="E676">
        <v>62</v>
      </c>
    </row>
    <row r="677" spans="1:5" x14ac:dyDescent="0.25">
      <c r="A677">
        <v>14</v>
      </c>
      <c r="B677">
        <v>25</v>
      </c>
      <c r="C677" t="s">
        <v>48</v>
      </c>
      <c r="D677">
        <v>48</v>
      </c>
      <c r="E677">
        <v>73</v>
      </c>
    </row>
    <row r="678" spans="1:5" x14ac:dyDescent="0.25">
      <c r="A678">
        <v>15</v>
      </c>
      <c r="B678">
        <v>18</v>
      </c>
      <c r="C678">
        <v>32</v>
      </c>
      <c r="D678">
        <v>57</v>
      </c>
      <c r="E678">
        <v>72</v>
      </c>
    </row>
    <row r="679" spans="1:5" x14ac:dyDescent="0.25">
      <c r="A679">
        <v>6</v>
      </c>
      <c r="B679">
        <v>29</v>
      </c>
      <c r="C679">
        <v>44</v>
      </c>
      <c r="D679">
        <v>60</v>
      </c>
      <c r="E679">
        <v>66</v>
      </c>
    </row>
    <row r="680" spans="1:5" x14ac:dyDescent="0.25">
      <c r="A680" t="s">
        <v>10</v>
      </c>
      <c r="B680" s="7">
        <v>85</v>
      </c>
      <c r="D680" s="144" t="s">
        <v>144</v>
      </c>
      <c r="E680" s="144"/>
    </row>
    <row r="682" spans="1:5" x14ac:dyDescent="0.25">
      <c r="A682" t="s">
        <v>0</v>
      </c>
      <c r="B682" t="s">
        <v>1</v>
      </c>
      <c r="C682" t="s">
        <v>2</v>
      </c>
      <c r="D682" t="s">
        <v>3</v>
      </c>
      <c r="E682" t="s">
        <v>4</v>
      </c>
    </row>
    <row r="683" spans="1:5" x14ac:dyDescent="0.25">
      <c r="A683">
        <v>10</v>
      </c>
      <c r="B683">
        <v>29</v>
      </c>
      <c r="C683">
        <v>31</v>
      </c>
      <c r="D683">
        <v>56</v>
      </c>
      <c r="E683">
        <v>64</v>
      </c>
    </row>
    <row r="684" spans="1:5" x14ac:dyDescent="0.25">
      <c r="A684">
        <v>3</v>
      </c>
      <c r="B684">
        <v>25</v>
      </c>
      <c r="C684">
        <v>44</v>
      </c>
      <c r="D684">
        <v>55</v>
      </c>
      <c r="E684">
        <v>68</v>
      </c>
    </row>
    <row r="685" spans="1:5" x14ac:dyDescent="0.25">
      <c r="A685">
        <v>15</v>
      </c>
      <c r="B685">
        <v>26</v>
      </c>
      <c r="C685" t="s">
        <v>48</v>
      </c>
      <c r="D685">
        <v>46</v>
      </c>
      <c r="E685">
        <v>74</v>
      </c>
    </row>
    <row r="686" spans="1:5" x14ac:dyDescent="0.25">
      <c r="A686">
        <v>5</v>
      </c>
      <c r="B686">
        <v>30</v>
      </c>
      <c r="C686">
        <v>43</v>
      </c>
      <c r="D686">
        <v>60</v>
      </c>
      <c r="E686">
        <v>67</v>
      </c>
    </row>
    <row r="687" spans="1:5" x14ac:dyDescent="0.25">
      <c r="A687">
        <v>2</v>
      </c>
      <c r="B687">
        <v>19</v>
      </c>
      <c r="C687">
        <v>33</v>
      </c>
      <c r="D687">
        <v>59</v>
      </c>
      <c r="E687">
        <v>75</v>
      </c>
    </row>
    <row r="688" spans="1:5" x14ac:dyDescent="0.25">
      <c r="A688" t="s">
        <v>10</v>
      </c>
      <c r="B688" s="7">
        <v>86</v>
      </c>
      <c r="D688" s="144" t="s">
        <v>144</v>
      </c>
      <c r="E688" s="144"/>
    </row>
    <row r="690" spans="1:5" x14ac:dyDescent="0.25">
      <c r="A690" t="s">
        <v>0</v>
      </c>
      <c r="B690" t="s">
        <v>1</v>
      </c>
      <c r="C690" t="s">
        <v>2</v>
      </c>
      <c r="D690" t="s">
        <v>3</v>
      </c>
      <c r="E690" t="s">
        <v>4</v>
      </c>
    </row>
    <row r="691" spans="1:5" x14ac:dyDescent="0.25">
      <c r="A691">
        <v>4</v>
      </c>
      <c r="B691">
        <v>25</v>
      </c>
      <c r="C691">
        <v>32</v>
      </c>
      <c r="D691">
        <v>56</v>
      </c>
      <c r="E691">
        <v>70</v>
      </c>
    </row>
    <row r="692" spans="1:5" x14ac:dyDescent="0.25">
      <c r="A692">
        <v>14</v>
      </c>
      <c r="B692">
        <v>30</v>
      </c>
      <c r="C692">
        <v>35</v>
      </c>
      <c r="D692">
        <v>50</v>
      </c>
      <c r="E692">
        <v>66</v>
      </c>
    </row>
    <row r="693" spans="1:5" x14ac:dyDescent="0.25">
      <c r="A693">
        <v>2</v>
      </c>
      <c r="B693">
        <v>29</v>
      </c>
      <c r="C693" t="s">
        <v>48</v>
      </c>
      <c r="D693">
        <v>52</v>
      </c>
      <c r="E693">
        <v>68</v>
      </c>
    </row>
    <row r="694" spans="1:5" x14ac:dyDescent="0.25">
      <c r="A694">
        <v>6</v>
      </c>
      <c r="B694">
        <v>18</v>
      </c>
      <c r="C694">
        <v>38</v>
      </c>
      <c r="D694">
        <v>51</v>
      </c>
      <c r="E694">
        <v>65</v>
      </c>
    </row>
    <row r="695" spans="1:5" x14ac:dyDescent="0.25">
      <c r="A695">
        <v>7</v>
      </c>
      <c r="B695">
        <v>26</v>
      </c>
      <c r="C695">
        <v>40</v>
      </c>
      <c r="D695">
        <v>55</v>
      </c>
      <c r="E695">
        <v>72</v>
      </c>
    </row>
    <row r="696" spans="1:5" x14ac:dyDescent="0.25">
      <c r="A696" t="s">
        <v>10</v>
      </c>
      <c r="B696" s="7">
        <v>87</v>
      </c>
      <c r="D696" s="144" t="s">
        <v>144</v>
      </c>
      <c r="E696" s="144"/>
    </row>
    <row r="698" spans="1:5" x14ac:dyDescent="0.25">
      <c r="A698" t="s">
        <v>0</v>
      </c>
      <c r="B698" t="s">
        <v>1</v>
      </c>
      <c r="C698" t="s">
        <v>2</v>
      </c>
      <c r="D698" t="s">
        <v>3</v>
      </c>
      <c r="E698" t="s">
        <v>4</v>
      </c>
    </row>
    <row r="699" spans="1:5" x14ac:dyDescent="0.25">
      <c r="A699">
        <v>15</v>
      </c>
      <c r="B699">
        <v>25</v>
      </c>
      <c r="C699">
        <v>43</v>
      </c>
      <c r="D699">
        <v>47</v>
      </c>
      <c r="E699">
        <v>65</v>
      </c>
    </row>
    <row r="700" spans="1:5" x14ac:dyDescent="0.25">
      <c r="A700">
        <v>9</v>
      </c>
      <c r="B700">
        <v>21</v>
      </c>
      <c r="C700">
        <v>32</v>
      </c>
      <c r="D700">
        <v>58</v>
      </c>
      <c r="E700">
        <v>68</v>
      </c>
    </row>
    <row r="701" spans="1:5" x14ac:dyDescent="0.25">
      <c r="A701">
        <v>2</v>
      </c>
      <c r="B701">
        <v>30</v>
      </c>
      <c r="C701" t="s">
        <v>48</v>
      </c>
      <c r="D701">
        <v>49</v>
      </c>
      <c r="E701">
        <v>71</v>
      </c>
    </row>
    <row r="702" spans="1:5" x14ac:dyDescent="0.25">
      <c r="A702">
        <v>4</v>
      </c>
      <c r="B702">
        <v>20</v>
      </c>
      <c r="C702">
        <v>39</v>
      </c>
      <c r="D702">
        <v>60</v>
      </c>
      <c r="E702">
        <v>69</v>
      </c>
    </row>
    <row r="703" spans="1:5" x14ac:dyDescent="0.25">
      <c r="A703">
        <v>14</v>
      </c>
      <c r="B703">
        <v>26</v>
      </c>
      <c r="C703">
        <v>45</v>
      </c>
      <c r="D703">
        <v>50</v>
      </c>
      <c r="E703">
        <v>72</v>
      </c>
    </row>
    <row r="704" spans="1:5" x14ac:dyDescent="0.25">
      <c r="A704" t="s">
        <v>10</v>
      </c>
      <c r="B704" s="7">
        <v>88</v>
      </c>
      <c r="D704" s="144" t="s">
        <v>144</v>
      </c>
      <c r="E704" s="144"/>
    </row>
    <row r="706" spans="1:5" x14ac:dyDescent="0.25">
      <c r="A706" t="s">
        <v>0</v>
      </c>
      <c r="B706" t="s">
        <v>1</v>
      </c>
      <c r="C706" t="s">
        <v>2</v>
      </c>
      <c r="D706" t="s">
        <v>3</v>
      </c>
      <c r="E706" t="s">
        <v>4</v>
      </c>
    </row>
    <row r="707" spans="1:5" x14ac:dyDescent="0.25">
      <c r="A707">
        <v>7</v>
      </c>
      <c r="B707">
        <v>19</v>
      </c>
      <c r="C707">
        <v>36</v>
      </c>
      <c r="D707">
        <v>57</v>
      </c>
      <c r="E707">
        <v>67</v>
      </c>
    </row>
    <row r="708" spans="1:5" x14ac:dyDescent="0.25">
      <c r="A708">
        <v>10</v>
      </c>
      <c r="B708">
        <v>23</v>
      </c>
      <c r="C708">
        <v>41</v>
      </c>
      <c r="D708">
        <v>52</v>
      </c>
      <c r="E708">
        <v>62</v>
      </c>
    </row>
    <row r="709" spans="1:5" x14ac:dyDescent="0.25">
      <c r="A709">
        <v>14</v>
      </c>
      <c r="B709">
        <v>18</v>
      </c>
      <c r="C709" t="s">
        <v>48</v>
      </c>
      <c r="D709">
        <v>51</v>
      </c>
      <c r="E709">
        <v>75</v>
      </c>
    </row>
    <row r="710" spans="1:5" x14ac:dyDescent="0.25">
      <c r="A710">
        <v>3</v>
      </c>
      <c r="B710">
        <v>27</v>
      </c>
      <c r="C710">
        <v>33</v>
      </c>
      <c r="D710">
        <v>48</v>
      </c>
      <c r="E710">
        <v>72</v>
      </c>
    </row>
    <row r="711" spans="1:5" x14ac:dyDescent="0.25">
      <c r="A711">
        <v>2</v>
      </c>
      <c r="B711">
        <v>17</v>
      </c>
      <c r="C711">
        <v>40</v>
      </c>
      <c r="D711">
        <v>59</v>
      </c>
      <c r="E711">
        <v>65</v>
      </c>
    </row>
    <row r="712" spans="1:5" x14ac:dyDescent="0.25">
      <c r="A712" t="s">
        <v>10</v>
      </c>
      <c r="B712" s="7">
        <v>89</v>
      </c>
      <c r="D712" s="144" t="s">
        <v>144</v>
      </c>
      <c r="E712" s="144"/>
    </row>
    <row r="714" spans="1:5" x14ac:dyDescent="0.25">
      <c r="A714" t="s">
        <v>0</v>
      </c>
      <c r="B714" t="s">
        <v>1</v>
      </c>
      <c r="C714" t="s">
        <v>2</v>
      </c>
      <c r="D714" t="s">
        <v>3</v>
      </c>
      <c r="E714" t="s">
        <v>4</v>
      </c>
    </row>
    <row r="715" spans="1:5" x14ac:dyDescent="0.25">
      <c r="A715">
        <v>4</v>
      </c>
      <c r="B715">
        <v>24</v>
      </c>
      <c r="C715">
        <v>43</v>
      </c>
      <c r="D715">
        <v>58</v>
      </c>
      <c r="E715">
        <v>67</v>
      </c>
    </row>
    <row r="716" spans="1:5" x14ac:dyDescent="0.25">
      <c r="A716">
        <v>10</v>
      </c>
      <c r="B716">
        <v>25</v>
      </c>
      <c r="C716">
        <v>41</v>
      </c>
      <c r="D716">
        <v>47</v>
      </c>
      <c r="E716">
        <v>61</v>
      </c>
    </row>
    <row r="717" spans="1:5" x14ac:dyDescent="0.25">
      <c r="A717">
        <v>15</v>
      </c>
      <c r="B717">
        <v>26</v>
      </c>
      <c r="C717" t="s">
        <v>48</v>
      </c>
      <c r="D717">
        <v>60</v>
      </c>
      <c r="E717">
        <v>64</v>
      </c>
    </row>
    <row r="718" spans="1:5" x14ac:dyDescent="0.25">
      <c r="A718">
        <v>11</v>
      </c>
      <c r="B718">
        <v>23</v>
      </c>
      <c r="C718">
        <v>37</v>
      </c>
      <c r="D718">
        <v>55</v>
      </c>
      <c r="E718">
        <v>65</v>
      </c>
    </row>
    <row r="719" spans="1:5" x14ac:dyDescent="0.25">
      <c r="A719">
        <v>12</v>
      </c>
      <c r="B719">
        <v>16</v>
      </c>
      <c r="C719">
        <v>36</v>
      </c>
      <c r="D719">
        <v>54</v>
      </c>
      <c r="E719">
        <v>72</v>
      </c>
    </row>
    <row r="720" spans="1:5" x14ac:dyDescent="0.25">
      <c r="A720" t="s">
        <v>10</v>
      </c>
      <c r="B720" s="7">
        <v>90</v>
      </c>
      <c r="D720" s="144" t="s">
        <v>144</v>
      </c>
      <c r="E720" s="144"/>
    </row>
    <row r="722" spans="1:5" x14ac:dyDescent="0.25">
      <c r="A722" t="s">
        <v>0</v>
      </c>
      <c r="B722" t="s">
        <v>1</v>
      </c>
      <c r="C722" t="s">
        <v>2</v>
      </c>
      <c r="D722" t="s">
        <v>3</v>
      </c>
      <c r="E722" t="s">
        <v>4</v>
      </c>
    </row>
    <row r="723" spans="1:5" x14ac:dyDescent="0.25">
      <c r="A723">
        <v>15</v>
      </c>
      <c r="B723">
        <v>24</v>
      </c>
      <c r="C723">
        <v>39</v>
      </c>
      <c r="D723">
        <v>48</v>
      </c>
      <c r="E723">
        <v>65</v>
      </c>
    </row>
    <row r="724" spans="1:5" x14ac:dyDescent="0.25">
      <c r="A724">
        <v>10</v>
      </c>
      <c r="B724">
        <v>21</v>
      </c>
      <c r="C724">
        <v>33</v>
      </c>
      <c r="D724">
        <v>54</v>
      </c>
      <c r="E724">
        <v>74</v>
      </c>
    </row>
    <row r="725" spans="1:5" x14ac:dyDescent="0.25">
      <c r="A725">
        <v>2</v>
      </c>
      <c r="B725">
        <v>22</v>
      </c>
      <c r="C725" t="s">
        <v>48</v>
      </c>
      <c r="D725">
        <v>51</v>
      </c>
      <c r="E725">
        <v>62</v>
      </c>
    </row>
    <row r="726" spans="1:5" x14ac:dyDescent="0.25">
      <c r="A726">
        <v>11</v>
      </c>
      <c r="B726">
        <v>30</v>
      </c>
      <c r="C726">
        <v>36</v>
      </c>
      <c r="D726">
        <v>52</v>
      </c>
      <c r="E726">
        <v>66</v>
      </c>
    </row>
    <row r="727" spans="1:5" x14ac:dyDescent="0.25">
      <c r="A727">
        <v>4</v>
      </c>
      <c r="B727">
        <v>25</v>
      </c>
      <c r="C727">
        <v>45</v>
      </c>
      <c r="D727">
        <v>58</v>
      </c>
      <c r="E727">
        <v>73</v>
      </c>
    </row>
    <row r="728" spans="1:5" x14ac:dyDescent="0.25">
      <c r="A728" t="s">
        <v>10</v>
      </c>
      <c r="B728" s="7">
        <v>91</v>
      </c>
      <c r="D728" s="144" t="s">
        <v>144</v>
      </c>
      <c r="E728" s="144"/>
    </row>
    <row r="730" spans="1:5" x14ac:dyDescent="0.25">
      <c r="A730" t="s">
        <v>0</v>
      </c>
      <c r="B730" t="s">
        <v>1</v>
      </c>
      <c r="C730" t="s">
        <v>2</v>
      </c>
      <c r="D730" t="s">
        <v>3</v>
      </c>
      <c r="E730" t="s">
        <v>4</v>
      </c>
    </row>
    <row r="731" spans="1:5" x14ac:dyDescent="0.25">
      <c r="A731">
        <v>14</v>
      </c>
      <c r="B731">
        <v>17</v>
      </c>
      <c r="C731">
        <v>35</v>
      </c>
      <c r="D731">
        <v>47</v>
      </c>
      <c r="E731">
        <v>64</v>
      </c>
    </row>
    <row r="732" spans="1:5" x14ac:dyDescent="0.25">
      <c r="A732">
        <v>3</v>
      </c>
      <c r="B732">
        <v>27</v>
      </c>
      <c r="C732">
        <v>31</v>
      </c>
      <c r="D732">
        <v>58</v>
      </c>
      <c r="E732">
        <v>70</v>
      </c>
    </row>
    <row r="733" spans="1:5" x14ac:dyDescent="0.25">
      <c r="A733">
        <v>15</v>
      </c>
      <c r="B733">
        <v>21</v>
      </c>
      <c r="C733" t="s">
        <v>48</v>
      </c>
      <c r="D733">
        <v>59</v>
      </c>
      <c r="E733">
        <v>68</v>
      </c>
    </row>
    <row r="734" spans="1:5" x14ac:dyDescent="0.25">
      <c r="A734">
        <v>10</v>
      </c>
      <c r="B734">
        <v>23</v>
      </c>
      <c r="C734">
        <v>42</v>
      </c>
      <c r="D734">
        <v>52</v>
      </c>
      <c r="E734">
        <v>69</v>
      </c>
    </row>
    <row r="735" spans="1:5" x14ac:dyDescent="0.25">
      <c r="A735">
        <v>2</v>
      </c>
      <c r="B735">
        <v>25</v>
      </c>
      <c r="C735">
        <v>38</v>
      </c>
      <c r="D735">
        <v>53</v>
      </c>
      <c r="E735">
        <v>67</v>
      </c>
    </row>
    <row r="736" spans="1:5" x14ac:dyDescent="0.25">
      <c r="A736" t="s">
        <v>10</v>
      </c>
      <c r="B736" s="7">
        <v>92</v>
      </c>
      <c r="D736" s="144" t="s">
        <v>144</v>
      </c>
      <c r="E736" s="144"/>
    </row>
    <row r="738" spans="1:5" x14ac:dyDescent="0.25">
      <c r="A738" t="s">
        <v>0</v>
      </c>
      <c r="B738" t="s">
        <v>1</v>
      </c>
      <c r="C738" t="s">
        <v>2</v>
      </c>
      <c r="D738" t="s">
        <v>3</v>
      </c>
      <c r="E738" t="s">
        <v>4</v>
      </c>
    </row>
    <row r="739" spans="1:5" x14ac:dyDescent="0.25">
      <c r="A739">
        <v>4</v>
      </c>
      <c r="B739">
        <v>24</v>
      </c>
      <c r="C739">
        <v>44</v>
      </c>
      <c r="D739">
        <v>55</v>
      </c>
      <c r="E739">
        <v>73</v>
      </c>
    </row>
    <row r="740" spans="1:5" x14ac:dyDescent="0.25">
      <c r="A740">
        <v>5</v>
      </c>
      <c r="B740">
        <v>22</v>
      </c>
      <c r="C740">
        <v>45</v>
      </c>
      <c r="D740">
        <v>51</v>
      </c>
      <c r="E740">
        <v>66</v>
      </c>
    </row>
    <row r="741" spans="1:5" x14ac:dyDescent="0.25">
      <c r="A741">
        <v>9</v>
      </c>
      <c r="B741">
        <v>17</v>
      </c>
      <c r="C741" t="s">
        <v>48</v>
      </c>
      <c r="D741">
        <v>59</v>
      </c>
      <c r="E741">
        <v>62</v>
      </c>
    </row>
    <row r="742" spans="1:5" x14ac:dyDescent="0.25">
      <c r="A742">
        <v>13</v>
      </c>
      <c r="B742">
        <v>21</v>
      </c>
      <c r="C742">
        <v>41</v>
      </c>
      <c r="D742">
        <v>49</v>
      </c>
      <c r="E742">
        <v>71</v>
      </c>
    </row>
    <row r="743" spans="1:5" x14ac:dyDescent="0.25">
      <c r="A743">
        <v>6</v>
      </c>
      <c r="B743">
        <v>18</v>
      </c>
      <c r="C743">
        <v>32</v>
      </c>
      <c r="D743">
        <v>56</v>
      </c>
      <c r="E743">
        <v>67</v>
      </c>
    </row>
    <row r="744" spans="1:5" x14ac:dyDescent="0.25">
      <c r="A744" t="s">
        <v>10</v>
      </c>
      <c r="B744" s="7">
        <v>93</v>
      </c>
      <c r="D744" s="144" t="s">
        <v>144</v>
      </c>
      <c r="E744" s="144"/>
    </row>
    <row r="746" spans="1:5" x14ac:dyDescent="0.25">
      <c r="A746" t="s">
        <v>0</v>
      </c>
      <c r="B746" t="s">
        <v>1</v>
      </c>
      <c r="C746" t="s">
        <v>2</v>
      </c>
      <c r="D746" t="s">
        <v>3</v>
      </c>
      <c r="E746" t="s">
        <v>4</v>
      </c>
    </row>
    <row r="747" spans="1:5" x14ac:dyDescent="0.25">
      <c r="A747">
        <v>9</v>
      </c>
      <c r="B747">
        <v>17</v>
      </c>
      <c r="C747">
        <v>40</v>
      </c>
      <c r="D747">
        <v>53</v>
      </c>
      <c r="E747">
        <v>67</v>
      </c>
    </row>
    <row r="748" spans="1:5" x14ac:dyDescent="0.25">
      <c r="A748">
        <v>3</v>
      </c>
      <c r="B748">
        <v>19</v>
      </c>
      <c r="C748">
        <v>36</v>
      </c>
      <c r="D748">
        <v>46</v>
      </c>
      <c r="E748">
        <v>73</v>
      </c>
    </row>
    <row r="749" spans="1:5" x14ac:dyDescent="0.25">
      <c r="A749">
        <v>15</v>
      </c>
      <c r="B749">
        <v>23</v>
      </c>
      <c r="C749" t="s">
        <v>48</v>
      </c>
      <c r="D749">
        <v>49</v>
      </c>
      <c r="E749">
        <v>63</v>
      </c>
    </row>
    <row r="750" spans="1:5" x14ac:dyDescent="0.25">
      <c r="A750">
        <v>5</v>
      </c>
      <c r="B750">
        <v>30</v>
      </c>
      <c r="C750">
        <v>37</v>
      </c>
      <c r="D750">
        <v>51</v>
      </c>
      <c r="E750">
        <v>68</v>
      </c>
    </row>
    <row r="751" spans="1:5" x14ac:dyDescent="0.25">
      <c r="A751">
        <v>14</v>
      </c>
      <c r="B751">
        <v>27</v>
      </c>
      <c r="C751">
        <v>43</v>
      </c>
      <c r="D751">
        <v>60</v>
      </c>
      <c r="E751">
        <v>65</v>
      </c>
    </row>
    <row r="752" spans="1:5" x14ac:dyDescent="0.25">
      <c r="A752" t="s">
        <v>10</v>
      </c>
      <c r="B752" s="7">
        <v>94</v>
      </c>
      <c r="D752" s="144" t="s">
        <v>144</v>
      </c>
      <c r="E752" s="144"/>
    </row>
    <row r="754" spans="1:5" x14ac:dyDescent="0.25">
      <c r="A754" t="s">
        <v>0</v>
      </c>
      <c r="B754" t="s">
        <v>1</v>
      </c>
      <c r="C754" t="s">
        <v>2</v>
      </c>
      <c r="D754" t="s">
        <v>3</v>
      </c>
      <c r="E754" t="s">
        <v>4</v>
      </c>
    </row>
    <row r="755" spans="1:5" x14ac:dyDescent="0.25">
      <c r="A755">
        <v>2</v>
      </c>
      <c r="B755">
        <v>22</v>
      </c>
      <c r="C755">
        <v>34</v>
      </c>
      <c r="D755">
        <v>59</v>
      </c>
      <c r="E755">
        <v>64</v>
      </c>
    </row>
    <row r="756" spans="1:5" x14ac:dyDescent="0.25">
      <c r="A756">
        <v>14</v>
      </c>
      <c r="B756">
        <v>27</v>
      </c>
      <c r="C756">
        <v>36</v>
      </c>
      <c r="D756">
        <v>49</v>
      </c>
      <c r="E756">
        <v>74</v>
      </c>
    </row>
    <row r="757" spans="1:5" x14ac:dyDescent="0.25">
      <c r="A757">
        <v>5</v>
      </c>
      <c r="B757">
        <v>21</v>
      </c>
      <c r="C757" t="s">
        <v>48</v>
      </c>
      <c r="D757">
        <v>48</v>
      </c>
      <c r="E757">
        <v>66</v>
      </c>
    </row>
    <row r="758" spans="1:5" x14ac:dyDescent="0.25">
      <c r="A758">
        <v>7</v>
      </c>
      <c r="B758">
        <v>16</v>
      </c>
      <c r="C758">
        <v>45</v>
      </c>
      <c r="D758">
        <v>56</v>
      </c>
      <c r="E758">
        <v>68</v>
      </c>
    </row>
    <row r="759" spans="1:5" x14ac:dyDescent="0.25">
      <c r="A759">
        <v>12</v>
      </c>
      <c r="B759">
        <v>19</v>
      </c>
      <c r="C759">
        <v>40</v>
      </c>
      <c r="D759">
        <v>52</v>
      </c>
      <c r="E759">
        <v>69</v>
      </c>
    </row>
    <row r="760" spans="1:5" x14ac:dyDescent="0.25">
      <c r="A760" t="s">
        <v>10</v>
      </c>
      <c r="B760" s="7">
        <v>95</v>
      </c>
      <c r="D760" s="144" t="s">
        <v>144</v>
      </c>
      <c r="E760" s="144"/>
    </row>
    <row r="762" spans="1:5" x14ac:dyDescent="0.25">
      <c r="A762" t="s">
        <v>0</v>
      </c>
      <c r="B762" t="s">
        <v>1</v>
      </c>
      <c r="C762" t="s">
        <v>2</v>
      </c>
      <c r="D762" t="s">
        <v>3</v>
      </c>
      <c r="E762" t="s">
        <v>4</v>
      </c>
    </row>
    <row r="763" spans="1:5" x14ac:dyDescent="0.25">
      <c r="A763">
        <v>6</v>
      </c>
      <c r="B763">
        <v>29</v>
      </c>
      <c r="C763">
        <v>44</v>
      </c>
      <c r="D763">
        <v>56</v>
      </c>
      <c r="E763">
        <v>74</v>
      </c>
    </row>
    <row r="764" spans="1:5" x14ac:dyDescent="0.25">
      <c r="A764">
        <v>15</v>
      </c>
      <c r="B764">
        <v>27</v>
      </c>
      <c r="C764">
        <v>31</v>
      </c>
      <c r="D764">
        <v>51</v>
      </c>
      <c r="E764">
        <v>72</v>
      </c>
    </row>
    <row r="765" spans="1:5" x14ac:dyDescent="0.25">
      <c r="A765">
        <v>10</v>
      </c>
      <c r="B765">
        <v>17</v>
      </c>
      <c r="C765" t="s">
        <v>48</v>
      </c>
      <c r="D765">
        <v>50</v>
      </c>
      <c r="E765">
        <v>70</v>
      </c>
    </row>
    <row r="766" spans="1:5" x14ac:dyDescent="0.25">
      <c r="A766">
        <v>14</v>
      </c>
      <c r="B766">
        <v>18</v>
      </c>
      <c r="C766">
        <v>36</v>
      </c>
      <c r="D766">
        <v>60</v>
      </c>
      <c r="E766">
        <v>61</v>
      </c>
    </row>
    <row r="767" spans="1:5" x14ac:dyDescent="0.25">
      <c r="A767">
        <v>4</v>
      </c>
      <c r="B767">
        <v>24</v>
      </c>
      <c r="C767">
        <v>39</v>
      </c>
      <c r="D767">
        <v>57</v>
      </c>
      <c r="E767">
        <v>66</v>
      </c>
    </row>
    <row r="768" spans="1:5" x14ac:dyDescent="0.25">
      <c r="A768" t="s">
        <v>10</v>
      </c>
      <c r="B768" s="7">
        <v>96</v>
      </c>
      <c r="D768" s="144" t="s">
        <v>144</v>
      </c>
      <c r="E768" s="144"/>
    </row>
    <row r="770" spans="1:5" x14ac:dyDescent="0.25">
      <c r="A770" t="s">
        <v>0</v>
      </c>
      <c r="B770" t="s">
        <v>1</v>
      </c>
      <c r="C770" t="s">
        <v>2</v>
      </c>
      <c r="D770" t="s">
        <v>3</v>
      </c>
      <c r="E770" t="s">
        <v>4</v>
      </c>
    </row>
    <row r="771" spans="1:5" x14ac:dyDescent="0.25">
      <c r="A771">
        <v>15</v>
      </c>
      <c r="B771">
        <v>16</v>
      </c>
      <c r="C771">
        <v>43</v>
      </c>
      <c r="D771">
        <v>56</v>
      </c>
      <c r="E771">
        <v>65</v>
      </c>
    </row>
    <row r="772" spans="1:5" x14ac:dyDescent="0.25">
      <c r="A772">
        <v>11</v>
      </c>
      <c r="B772">
        <v>25</v>
      </c>
      <c r="C772">
        <v>42</v>
      </c>
      <c r="D772">
        <v>46</v>
      </c>
      <c r="E772">
        <v>74</v>
      </c>
    </row>
    <row r="773" spans="1:5" x14ac:dyDescent="0.25">
      <c r="A773">
        <v>3</v>
      </c>
      <c r="B773">
        <v>19</v>
      </c>
      <c r="C773" t="s">
        <v>48</v>
      </c>
      <c r="D773">
        <v>51</v>
      </c>
      <c r="E773">
        <v>69</v>
      </c>
    </row>
    <row r="774" spans="1:5" x14ac:dyDescent="0.25">
      <c r="A774">
        <v>13</v>
      </c>
      <c r="B774">
        <v>21</v>
      </c>
      <c r="C774">
        <v>45</v>
      </c>
      <c r="D774">
        <v>60</v>
      </c>
      <c r="E774">
        <v>66</v>
      </c>
    </row>
    <row r="775" spans="1:5" x14ac:dyDescent="0.25">
      <c r="A775">
        <v>14</v>
      </c>
      <c r="B775">
        <v>28</v>
      </c>
      <c r="C775">
        <v>31</v>
      </c>
      <c r="D775">
        <v>50</v>
      </c>
      <c r="E775">
        <v>62</v>
      </c>
    </row>
    <row r="776" spans="1:5" x14ac:dyDescent="0.25">
      <c r="A776" t="s">
        <v>10</v>
      </c>
      <c r="B776" s="7">
        <v>97</v>
      </c>
      <c r="D776" s="144" t="s">
        <v>144</v>
      </c>
      <c r="E776" s="144"/>
    </row>
    <row r="778" spans="1:5" x14ac:dyDescent="0.25">
      <c r="A778" t="s">
        <v>0</v>
      </c>
      <c r="B778" t="s">
        <v>1</v>
      </c>
      <c r="C778" t="s">
        <v>2</v>
      </c>
      <c r="D778" t="s">
        <v>3</v>
      </c>
      <c r="E778" t="s">
        <v>4</v>
      </c>
    </row>
    <row r="779" spans="1:5" x14ac:dyDescent="0.25">
      <c r="A779">
        <v>14</v>
      </c>
      <c r="B779">
        <v>20</v>
      </c>
      <c r="C779">
        <v>35</v>
      </c>
      <c r="D779">
        <v>47</v>
      </c>
      <c r="E779">
        <v>63</v>
      </c>
    </row>
    <row r="780" spans="1:5" x14ac:dyDescent="0.25">
      <c r="A780">
        <v>6</v>
      </c>
      <c r="B780">
        <v>21</v>
      </c>
      <c r="C780">
        <v>43</v>
      </c>
      <c r="D780">
        <v>51</v>
      </c>
      <c r="E780">
        <v>73</v>
      </c>
    </row>
    <row r="781" spans="1:5" x14ac:dyDescent="0.25">
      <c r="A781">
        <v>4</v>
      </c>
      <c r="B781">
        <v>27</v>
      </c>
      <c r="C781" t="s">
        <v>48</v>
      </c>
      <c r="D781">
        <v>52</v>
      </c>
      <c r="E781">
        <v>66</v>
      </c>
    </row>
    <row r="782" spans="1:5" x14ac:dyDescent="0.25">
      <c r="A782">
        <v>8</v>
      </c>
      <c r="B782">
        <v>29</v>
      </c>
      <c r="C782">
        <v>44</v>
      </c>
      <c r="D782">
        <v>53</v>
      </c>
      <c r="E782">
        <v>64</v>
      </c>
    </row>
    <row r="783" spans="1:5" x14ac:dyDescent="0.25">
      <c r="A783">
        <v>2</v>
      </c>
      <c r="B783">
        <v>19</v>
      </c>
      <c r="C783">
        <v>37</v>
      </c>
      <c r="D783">
        <v>49</v>
      </c>
      <c r="E783">
        <v>75</v>
      </c>
    </row>
    <row r="784" spans="1:5" x14ac:dyDescent="0.25">
      <c r="A784" t="s">
        <v>10</v>
      </c>
      <c r="B784" s="7">
        <v>98</v>
      </c>
      <c r="D784" s="144" t="s">
        <v>144</v>
      </c>
      <c r="E784" s="144"/>
    </row>
    <row r="786" spans="1:5" x14ac:dyDescent="0.25">
      <c r="A786" t="s">
        <v>0</v>
      </c>
      <c r="B786" t="s">
        <v>1</v>
      </c>
      <c r="C786" t="s">
        <v>2</v>
      </c>
      <c r="D786" t="s">
        <v>3</v>
      </c>
      <c r="E786" t="s">
        <v>4</v>
      </c>
    </row>
    <row r="787" spans="1:5" x14ac:dyDescent="0.25">
      <c r="A787">
        <v>15</v>
      </c>
      <c r="B787">
        <v>22</v>
      </c>
      <c r="C787">
        <v>45</v>
      </c>
      <c r="D787">
        <v>46</v>
      </c>
      <c r="E787">
        <v>71</v>
      </c>
    </row>
    <row r="788" spans="1:5" x14ac:dyDescent="0.25">
      <c r="A788">
        <v>2</v>
      </c>
      <c r="B788">
        <v>21</v>
      </c>
      <c r="C788">
        <v>39</v>
      </c>
      <c r="D788">
        <v>53</v>
      </c>
      <c r="E788">
        <v>69</v>
      </c>
    </row>
    <row r="789" spans="1:5" x14ac:dyDescent="0.25">
      <c r="A789">
        <v>5</v>
      </c>
      <c r="B789">
        <v>26</v>
      </c>
      <c r="C789" t="s">
        <v>48</v>
      </c>
      <c r="D789">
        <v>59</v>
      </c>
      <c r="E789">
        <v>67</v>
      </c>
    </row>
    <row r="790" spans="1:5" x14ac:dyDescent="0.25">
      <c r="A790">
        <v>1</v>
      </c>
      <c r="B790">
        <v>16</v>
      </c>
      <c r="C790">
        <v>37</v>
      </c>
      <c r="D790">
        <v>60</v>
      </c>
      <c r="E790">
        <v>66</v>
      </c>
    </row>
    <row r="791" spans="1:5" x14ac:dyDescent="0.25">
      <c r="A791">
        <v>3</v>
      </c>
      <c r="B791">
        <v>19</v>
      </c>
      <c r="C791">
        <v>34</v>
      </c>
      <c r="D791">
        <v>55</v>
      </c>
      <c r="E791">
        <v>75</v>
      </c>
    </row>
    <row r="792" spans="1:5" x14ac:dyDescent="0.25">
      <c r="A792" t="s">
        <v>10</v>
      </c>
      <c r="B792" s="7">
        <v>99</v>
      </c>
      <c r="D792" s="144" t="s">
        <v>144</v>
      </c>
      <c r="E792" s="144"/>
    </row>
    <row r="794" spans="1:5" x14ac:dyDescent="0.25">
      <c r="A794" t="s">
        <v>0</v>
      </c>
      <c r="B794" t="s">
        <v>1</v>
      </c>
      <c r="C794" t="s">
        <v>2</v>
      </c>
      <c r="D794" t="s">
        <v>3</v>
      </c>
      <c r="E794" t="s">
        <v>4</v>
      </c>
    </row>
    <row r="795" spans="1:5" x14ac:dyDescent="0.25">
      <c r="A795">
        <v>10</v>
      </c>
      <c r="B795">
        <v>16</v>
      </c>
      <c r="C795">
        <v>39</v>
      </c>
      <c r="D795">
        <v>56</v>
      </c>
      <c r="E795">
        <v>72</v>
      </c>
    </row>
    <row r="796" spans="1:5" x14ac:dyDescent="0.25">
      <c r="A796">
        <v>12</v>
      </c>
      <c r="B796">
        <v>28</v>
      </c>
      <c r="C796">
        <v>34</v>
      </c>
      <c r="D796">
        <v>54</v>
      </c>
      <c r="E796">
        <v>67</v>
      </c>
    </row>
    <row r="797" spans="1:5" x14ac:dyDescent="0.25">
      <c r="A797">
        <v>11</v>
      </c>
      <c r="B797">
        <v>18</v>
      </c>
      <c r="C797" t="s">
        <v>48</v>
      </c>
      <c r="D797">
        <v>47</v>
      </c>
      <c r="E797">
        <v>73</v>
      </c>
    </row>
    <row r="798" spans="1:5" x14ac:dyDescent="0.25">
      <c r="A798">
        <v>4</v>
      </c>
      <c r="B798">
        <v>21</v>
      </c>
      <c r="C798">
        <v>43</v>
      </c>
      <c r="D798">
        <v>51</v>
      </c>
      <c r="E798">
        <v>66</v>
      </c>
    </row>
    <row r="799" spans="1:5" x14ac:dyDescent="0.25">
      <c r="A799">
        <v>1</v>
      </c>
      <c r="B799">
        <v>24</v>
      </c>
      <c r="C799">
        <v>38</v>
      </c>
      <c r="D799">
        <v>49</v>
      </c>
      <c r="E799">
        <v>64</v>
      </c>
    </row>
    <row r="800" spans="1:5" x14ac:dyDescent="0.25">
      <c r="A800" t="s">
        <v>10</v>
      </c>
      <c r="B800" s="7">
        <v>100</v>
      </c>
      <c r="D800" s="144" t="s">
        <v>144</v>
      </c>
      <c r="E800" s="144"/>
    </row>
  </sheetData>
  <mergeCells count="100">
    <mergeCell ref="D776:E776"/>
    <mergeCell ref="D784:E784"/>
    <mergeCell ref="D792:E792"/>
    <mergeCell ref="D800:E800"/>
    <mergeCell ref="D728:E728"/>
    <mergeCell ref="D736:E736"/>
    <mergeCell ref="D744:E744"/>
    <mergeCell ref="D752:E752"/>
    <mergeCell ref="D760:E760"/>
    <mergeCell ref="D768:E768"/>
    <mergeCell ref="D680:E680"/>
    <mergeCell ref="D688:E688"/>
    <mergeCell ref="D696:E696"/>
    <mergeCell ref="D704:E704"/>
    <mergeCell ref="D712:E712"/>
    <mergeCell ref="D720:E720"/>
    <mergeCell ref="D632:E632"/>
    <mergeCell ref="D640:E640"/>
    <mergeCell ref="D648:E648"/>
    <mergeCell ref="D656:E656"/>
    <mergeCell ref="D664:E664"/>
    <mergeCell ref="D672:E672"/>
    <mergeCell ref="D584:E584"/>
    <mergeCell ref="D592:E592"/>
    <mergeCell ref="D600:E600"/>
    <mergeCell ref="D608:E608"/>
    <mergeCell ref="D616:E616"/>
    <mergeCell ref="D624:E624"/>
    <mergeCell ref="D536:E536"/>
    <mergeCell ref="D544:E544"/>
    <mergeCell ref="D552:E552"/>
    <mergeCell ref="D560:E560"/>
    <mergeCell ref="D568:E568"/>
    <mergeCell ref="D576:E576"/>
    <mergeCell ref="D488:E488"/>
    <mergeCell ref="D496:E496"/>
    <mergeCell ref="D504:E504"/>
    <mergeCell ref="D512:E512"/>
    <mergeCell ref="D520:E520"/>
    <mergeCell ref="D528:E528"/>
    <mergeCell ref="D440:E440"/>
    <mergeCell ref="D448:E448"/>
    <mergeCell ref="D456:E456"/>
    <mergeCell ref="D464:E464"/>
    <mergeCell ref="D472:E472"/>
    <mergeCell ref="D480:E480"/>
    <mergeCell ref="D392:E392"/>
    <mergeCell ref="D400:E400"/>
    <mergeCell ref="D408:E408"/>
    <mergeCell ref="D416:E416"/>
    <mergeCell ref="D424:E424"/>
    <mergeCell ref="D432:E432"/>
    <mergeCell ref="D344:E344"/>
    <mergeCell ref="D352:E352"/>
    <mergeCell ref="D360:E360"/>
    <mergeCell ref="D368:E368"/>
    <mergeCell ref="D376:E376"/>
    <mergeCell ref="D384:E384"/>
    <mergeCell ref="D296:E296"/>
    <mergeCell ref="D304:E304"/>
    <mergeCell ref="D312:E312"/>
    <mergeCell ref="D320:E320"/>
    <mergeCell ref="D328:E328"/>
    <mergeCell ref="D336:E336"/>
    <mergeCell ref="D248:E248"/>
    <mergeCell ref="D256:E256"/>
    <mergeCell ref="D264:E264"/>
    <mergeCell ref="D272:E272"/>
    <mergeCell ref="D280:E280"/>
    <mergeCell ref="D288:E288"/>
    <mergeCell ref="D200:E200"/>
    <mergeCell ref="D208:E208"/>
    <mergeCell ref="D216:E216"/>
    <mergeCell ref="D224:E224"/>
    <mergeCell ref="D232:E232"/>
    <mergeCell ref="D240:E240"/>
    <mergeCell ref="D152:E152"/>
    <mergeCell ref="D160:E160"/>
    <mergeCell ref="D168:E168"/>
    <mergeCell ref="D176:E176"/>
    <mergeCell ref="D184:E184"/>
    <mergeCell ref="D192:E192"/>
    <mergeCell ref="D104:E104"/>
    <mergeCell ref="D112:E112"/>
    <mergeCell ref="D120:E120"/>
    <mergeCell ref="D128:E128"/>
    <mergeCell ref="D136:E136"/>
    <mergeCell ref="D144:E144"/>
    <mergeCell ref="D56:E56"/>
    <mergeCell ref="D64:E64"/>
    <mergeCell ref="D72:E72"/>
    <mergeCell ref="D80:E80"/>
    <mergeCell ref="D88:E88"/>
    <mergeCell ref="D96:E96"/>
    <mergeCell ref="D8:E8"/>
    <mergeCell ref="D16:E16"/>
    <mergeCell ref="D24:E24"/>
    <mergeCell ref="D32:E32"/>
    <mergeCell ref="D40:E40"/>
    <mergeCell ref="D48:E4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6918A-C235-4693-BEB4-E444F12BDD26}">
  <sheetPr codeName="Hoja1"/>
  <dimension ref="A1:S19"/>
  <sheetViews>
    <sheetView zoomScale="85" zoomScaleNormal="85" workbookViewId="0">
      <selection activeCell="N15" sqref="N15"/>
    </sheetView>
  </sheetViews>
  <sheetFormatPr baseColWidth="10" defaultRowHeight="15" x14ac:dyDescent="0.25"/>
  <cols>
    <col min="1" max="5" width="10.85546875" customWidth="1"/>
    <col min="6" max="6" width="2.28515625" customWidth="1"/>
    <col min="7" max="11" width="8.7109375" customWidth="1"/>
    <col min="12" max="12" width="3.140625" customWidth="1"/>
    <col min="16" max="16" width="17.85546875" customWidth="1"/>
  </cols>
  <sheetData>
    <row r="1" spans="1:19" ht="24" thickBot="1" x14ac:dyDescent="0.3">
      <c r="A1" s="8" t="s">
        <v>0</v>
      </c>
      <c r="B1" s="9" t="s">
        <v>1</v>
      </c>
      <c r="C1" s="9" t="s">
        <v>2</v>
      </c>
      <c r="D1" s="9" t="s">
        <v>3</v>
      </c>
      <c r="E1" s="10" t="s">
        <v>4</v>
      </c>
      <c r="F1" s="13"/>
      <c r="G1" s="13"/>
      <c r="H1" s="13"/>
      <c r="I1" s="13"/>
      <c r="J1" s="13"/>
      <c r="K1" s="13"/>
      <c r="P1" t="s">
        <v>140</v>
      </c>
      <c r="Q1" t="s">
        <v>15</v>
      </c>
      <c r="S1" s="71">
        <v>45780</v>
      </c>
    </row>
    <row r="2" spans="1:19" ht="23.25" x14ac:dyDescent="0.25">
      <c r="A2" s="140">
        <v>1</v>
      </c>
      <c r="B2" s="138">
        <v>16</v>
      </c>
      <c r="C2" s="138">
        <v>31</v>
      </c>
      <c r="D2" s="138">
        <v>46</v>
      </c>
      <c r="E2" s="189">
        <v>61</v>
      </c>
      <c r="F2" s="13"/>
      <c r="G2" s="13"/>
      <c r="H2" s="13"/>
      <c r="I2" s="13"/>
      <c r="J2" s="13"/>
      <c r="K2" s="13"/>
      <c r="Q2">
        <v>225</v>
      </c>
      <c r="S2" s="4"/>
    </row>
    <row r="3" spans="1:19" ht="24" thickBot="1" x14ac:dyDescent="0.3">
      <c r="A3" s="190">
        <v>2</v>
      </c>
      <c r="B3" s="134">
        <v>17</v>
      </c>
      <c r="C3" s="134">
        <v>32</v>
      </c>
      <c r="D3" s="134">
        <v>47</v>
      </c>
      <c r="E3" s="135">
        <v>62</v>
      </c>
      <c r="F3" s="13"/>
      <c r="G3" s="13"/>
      <c r="H3" s="13"/>
      <c r="I3" s="13"/>
      <c r="J3" s="13"/>
      <c r="K3" s="13"/>
    </row>
    <row r="4" spans="1:19" ht="23.25" x14ac:dyDescent="0.25">
      <c r="A4" s="190">
        <v>3</v>
      </c>
      <c r="B4" s="134">
        <v>18</v>
      </c>
      <c r="C4" s="134">
        <v>33</v>
      </c>
      <c r="D4" s="191">
        <v>48</v>
      </c>
      <c r="E4" s="135">
        <v>63</v>
      </c>
      <c r="F4" s="13"/>
      <c r="G4" s="154" t="s">
        <v>0</v>
      </c>
      <c r="H4" s="155"/>
      <c r="I4" s="156"/>
      <c r="J4" s="13"/>
      <c r="K4" s="13"/>
      <c r="O4" s="5">
        <v>1</v>
      </c>
      <c r="P4" s="5" t="s">
        <v>7</v>
      </c>
    </row>
    <row r="5" spans="1:19" ht="24" thickBot="1" x14ac:dyDescent="0.3">
      <c r="A5" s="137">
        <v>4</v>
      </c>
      <c r="B5" s="134">
        <v>19</v>
      </c>
      <c r="C5" s="134">
        <v>34</v>
      </c>
      <c r="D5" s="191">
        <v>49</v>
      </c>
      <c r="E5" s="192">
        <v>64</v>
      </c>
      <c r="F5" s="13"/>
      <c r="G5" s="157"/>
      <c r="H5" s="158"/>
      <c r="I5" s="159"/>
      <c r="J5" s="13"/>
      <c r="K5" s="13"/>
      <c r="O5" s="5">
        <v>2</v>
      </c>
      <c r="P5" s="5" t="s">
        <v>37</v>
      </c>
    </row>
    <row r="6" spans="1:19" ht="23.25" x14ac:dyDescent="0.25">
      <c r="A6" s="190">
        <v>5</v>
      </c>
      <c r="B6" s="134">
        <v>20</v>
      </c>
      <c r="C6" s="191">
        <v>35</v>
      </c>
      <c r="D6" s="134">
        <v>50</v>
      </c>
      <c r="E6" s="135">
        <v>65</v>
      </c>
      <c r="F6" s="13"/>
      <c r="G6" s="145">
        <v>11</v>
      </c>
      <c r="H6" s="146"/>
      <c r="I6" s="147"/>
      <c r="J6" s="13"/>
      <c r="K6" s="14">
        <v>4</v>
      </c>
      <c r="L6" s="5" t="str">
        <f>VLOOKUP(K6,O4:P11,2,)</f>
        <v>Carton Lleno</v>
      </c>
      <c r="O6" s="5">
        <v>3</v>
      </c>
      <c r="P6" s="5" t="s">
        <v>36</v>
      </c>
    </row>
    <row r="7" spans="1:19" ht="23.25" x14ac:dyDescent="0.25">
      <c r="A7" s="137">
        <v>6</v>
      </c>
      <c r="B7" s="134">
        <v>21</v>
      </c>
      <c r="C7" s="134">
        <v>36</v>
      </c>
      <c r="D7" s="134">
        <v>51</v>
      </c>
      <c r="E7" s="135">
        <v>66</v>
      </c>
      <c r="F7" s="13"/>
      <c r="G7" s="148"/>
      <c r="H7" s="149"/>
      <c r="I7" s="150"/>
      <c r="J7" s="13"/>
      <c r="K7" s="13"/>
      <c r="O7" s="5">
        <v>4</v>
      </c>
      <c r="P7" s="5" t="s">
        <v>9</v>
      </c>
    </row>
    <row r="8" spans="1:19" ht="23.25" x14ac:dyDescent="0.25">
      <c r="A8" s="137">
        <v>7</v>
      </c>
      <c r="B8" s="191">
        <v>22</v>
      </c>
      <c r="C8" s="134">
        <v>37</v>
      </c>
      <c r="D8" s="191">
        <v>52</v>
      </c>
      <c r="E8" s="192">
        <v>67</v>
      </c>
      <c r="F8" s="13"/>
      <c r="G8" s="148"/>
      <c r="H8" s="149"/>
      <c r="I8" s="150"/>
      <c r="J8" s="13"/>
      <c r="K8" s="13"/>
      <c r="O8" s="5">
        <v>5</v>
      </c>
      <c r="P8" s="5" t="s">
        <v>38</v>
      </c>
    </row>
    <row r="9" spans="1:19" ht="23.25" x14ac:dyDescent="0.25">
      <c r="A9" s="137">
        <v>8</v>
      </c>
      <c r="B9" s="134">
        <v>23</v>
      </c>
      <c r="C9" s="134">
        <v>38</v>
      </c>
      <c r="D9" s="134">
        <v>53</v>
      </c>
      <c r="E9" s="135">
        <v>68</v>
      </c>
      <c r="F9" s="13"/>
      <c r="G9" s="148"/>
      <c r="H9" s="149"/>
      <c r="I9" s="150"/>
      <c r="J9" s="13"/>
      <c r="K9" s="13"/>
      <c r="O9" s="5">
        <v>6</v>
      </c>
      <c r="P9" s="5" t="s">
        <v>90</v>
      </c>
    </row>
    <row r="10" spans="1:19" ht="23.25" x14ac:dyDescent="0.25">
      <c r="A10" s="137">
        <v>9</v>
      </c>
      <c r="B10" s="191">
        <v>24</v>
      </c>
      <c r="C10" s="134">
        <v>39</v>
      </c>
      <c r="D10" s="191">
        <v>54</v>
      </c>
      <c r="E10" s="135">
        <v>69</v>
      </c>
      <c r="F10" s="13"/>
      <c r="G10" s="148"/>
      <c r="H10" s="149"/>
      <c r="I10" s="150"/>
      <c r="J10" s="13"/>
      <c r="K10" s="13"/>
      <c r="O10" s="5">
        <v>7</v>
      </c>
      <c r="P10" s="5" t="s">
        <v>41</v>
      </c>
    </row>
    <row r="11" spans="1:19" ht="24" thickBot="1" x14ac:dyDescent="0.3">
      <c r="A11" s="137">
        <v>10</v>
      </c>
      <c r="B11" s="134">
        <v>25</v>
      </c>
      <c r="C11" s="134">
        <v>40</v>
      </c>
      <c r="D11" s="134">
        <v>55</v>
      </c>
      <c r="E11" s="192">
        <v>70</v>
      </c>
      <c r="F11" s="13"/>
      <c r="G11" s="151"/>
      <c r="H11" s="152"/>
      <c r="I11" s="153"/>
      <c r="J11" s="13"/>
      <c r="K11" s="13"/>
      <c r="O11" s="5">
        <v>8</v>
      </c>
      <c r="P11" s="5" t="s">
        <v>42</v>
      </c>
    </row>
    <row r="12" spans="1:19" ht="24" thickBot="1" x14ac:dyDescent="0.3">
      <c r="A12" s="137">
        <v>11</v>
      </c>
      <c r="B12" s="134">
        <v>26</v>
      </c>
      <c r="C12" s="191">
        <v>41</v>
      </c>
      <c r="D12" s="134">
        <v>56</v>
      </c>
      <c r="E12" s="191">
        <v>71</v>
      </c>
      <c r="F12" s="13"/>
      <c r="G12" s="13"/>
      <c r="H12" s="13"/>
      <c r="I12" s="13"/>
      <c r="J12" s="13"/>
      <c r="K12" s="13"/>
      <c r="N12">
        <v>0</v>
      </c>
    </row>
    <row r="13" spans="1:19" ht="23.25" x14ac:dyDescent="0.25">
      <c r="A13" s="137">
        <v>12</v>
      </c>
      <c r="B13" s="191">
        <v>27</v>
      </c>
      <c r="C13" s="134">
        <v>42</v>
      </c>
      <c r="D13" s="134">
        <v>57</v>
      </c>
      <c r="E13" s="135">
        <v>72</v>
      </c>
      <c r="F13" s="13"/>
      <c r="G13" s="164" t="s">
        <v>31</v>
      </c>
      <c r="H13" s="165"/>
      <c r="I13" s="166"/>
      <c r="J13" s="15"/>
      <c r="K13" s="15"/>
      <c r="O13" s="170" t="s">
        <v>141</v>
      </c>
      <c r="P13" s="171"/>
      <c r="Q13" s="171"/>
      <c r="R13" s="171"/>
      <c r="S13" s="172"/>
    </row>
    <row r="14" spans="1:19" ht="24" thickBot="1" x14ac:dyDescent="0.3">
      <c r="A14" s="190">
        <v>13</v>
      </c>
      <c r="B14" s="191">
        <v>28</v>
      </c>
      <c r="C14" s="134">
        <v>43</v>
      </c>
      <c r="D14" s="134">
        <v>58</v>
      </c>
      <c r="E14" s="135">
        <v>73</v>
      </c>
      <c r="F14" s="13"/>
      <c r="G14" s="167" t="str">
        <f>L6</f>
        <v>Carton Lleno</v>
      </c>
      <c r="H14" s="168"/>
      <c r="I14" s="169"/>
      <c r="J14" s="16"/>
      <c r="K14" s="16"/>
      <c r="O14" s="3">
        <v>4</v>
      </c>
      <c r="P14" s="160" t="s">
        <v>127</v>
      </c>
      <c r="Q14" s="160"/>
      <c r="R14" s="160"/>
      <c r="S14" s="161"/>
    </row>
    <row r="15" spans="1:19" ht="23.25" x14ac:dyDescent="0.25">
      <c r="A15" s="137">
        <v>14</v>
      </c>
      <c r="B15" s="191">
        <v>29</v>
      </c>
      <c r="C15" s="134">
        <v>44</v>
      </c>
      <c r="D15" s="191">
        <v>59</v>
      </c>
      <c r="E15" s="135">
        <v>74</v>
      </c>
      <c r="F15" s="13"/>
      <c r="G15" s="17"/>
      <c r="H15" s="16"/>
      <c r="I15" s="16"/>
      <c r="J15" s="16"/>
      <c r="K15" s="16"/>
      <c r="O15" s="3"/>
      <c r="P15" s="160"/>
      <c r="Q15" s="160"/>
      <c r="R15" s="160"/>
      <c r="S15" s="161"/>
    </row>
    <row r="16" spans="1:19" ht="24" thickBot="1" x14ac:dyDescent="0.3">
      <c r="A16" s="136">
        <v>15</v>
      </c>
      <c r="B16" s="139">
        <v>30</v>
      </c>
      <c r="C16" s="139">
        <v>45</v>
      </c>
      <c r="D16" s="139">
        <v>60</v>
      </c>
      <c r="E16" s="193">
        <v>75</v>
      </c>
      <c r="F16" s="13"/>
      <c r="G16" s="17"/>
      <c r="H16" s="16"/>
      <c r="I16" s="16"/>
      <c r="J16" s="16"/>
      <c r="K16" s="16"/>
      <c r="O16" s="6"/>
      <c r="P16" s="173"/>
      <c r="Q16" s="174"/>
      <c r="R16" s="174"/>
      <c r="S16" s="175"/>
    </row>
    <row r="17" spans="1:19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O17" s="3"/>
      <c r="P17" s="160"/>
      <c r="Q17" s="160"/>
      <c r="R17" s="160"/>
      <c r="S17" s="161"/>
    </row>
    <row r="18" spans="1:19" ht="15.75" thickBot="1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O18" s="141"/>
      <c r="P18" s="162"/>
      <c r="Q18" s="162"/>
      <c r="R18" s="162"/>
      <c r="S18" s="163"/>
    </row>
    <row r="19" spans="1:19" x14ac:dyDescent="0.25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</row>
  </sheetData>
  <mergeCells count="10">
    <mergeCell ref="P18:S18"/>
    <mergeCell ref="G13:I13"/>
    <mergeCell ref="G14:I14"/>
    <mergeCell ref="O13:S13"/>
    <mergeCell ref="P16:S16"/>
    <mergeCell ref="G6:I11"/>
    <mergeCell ref="G4:I5"/>
    <mergeCell ref="P14:S14"/>
    <mergeCell ref="P15:S15"/>
    <mergeCell ref="P17:S1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8" r:id="rId4" name="CommandButton6">
          <controlPr defaultSize="0" autoLine="0" r:id="rId5">
            <anchor moveWithCells="1">
              <from>
                <xdr:col>12</xdr:col>
                <xdr:colOff>0</xdr:colOff>
                <xdr:row>3</xdr:row>
                <xdr:rowOff>66675</xdr:rowOff>
              </from>
              <to>
                <xdr:col>13</xdr:col>
                <xdr:colOff>495300</xdr:colOff>
                <xdr:row>4</xdr:row>
                <xdr:rowOff>85725</xdr:rowOff>
              </to>
            </anchor>
          </controlPr>
        </control>
      </mc:Choice>
      <mc:Fallback>
        <control shapeId="2058" r:id="rId4" name="CommandButton6"/>
      </mc:Fallback>
    </mc:AlternateContent>
    <mc:AlternateContent xmlns:mc="http://schemas.openxmlformats.org/markup-compatibility/2006">
      <mc:Choice Requires="x14">
        <control shapeId="2057" r:id="rId6" name="CommandButton5">
          <controlPr defaultSize="0" autoLine="0" r:id="rId7">
            <anchor moveWithCells="1">
              <from>
                <xdr:col>17</xdr:col>
                <xdr:colOff>742950</xdr:colOff>
                <xdr:row>2</xdr:row>
                <xdr:rowOff>219075</xdr:rowOff>
              </from>
              <to>
                <xdr:col>19</xdr:col>
                <xdr:colOff>133350</xdr:colOff>
                <xdr:row>3</xdr:row>
                <xdr:rowOff>219075</xdr:rowOff>
              </to>
            </anchor>
          </controlPr>
        </control>
      </mc:Choice>
      <mc:Fallback>
        <control shapeId="2057" r:id="rId6" name="CommandButton5"/>
      </mc:Fallback>
    </mc:AlternateContent>
    <mc:AlternateContent xmlns:mc="http://schemas.openxmlformats.org/markup-compatibility/2006">
      <mc:Choice Requires="x14">
        <control shapeId="2056" r:id="rId8" name="CommandButton4">
          <controlPr defaultSize="0" autoLine="0" r:id="rId9">
            <anchor moveWithCells="1">
              <from>
                <xdr:col>16</xdr:col>
                <xdr:colOff>9525</xdr:colOff>
                <xdr:row>5</xdr:row>
                <xdr:rowOff>285750</xdr:rowOff>
              </from>
              <to>
                <xdr:col>17</xdr:col>
                <xdr:colOff>419100</xdr:colOff>
                <xdr:row>7</xdr:row>
                <xdr:rowOff>9525</xdr:rowOff>
              </to>
            </anchor>
          </controlPr>
        </control>
      </mc:Choice>
      <mc:Fallback>
        <control shapeId="2056" r:id="rId8" name="CommandButton4"/>
      </mc:Fallback>
    </mc:AlternateContent>
    <mc:AlternateContent xmlns:mc="http://schemas.openxmlformats.org/markup-compatibility/2006">
      <mc:Choice Requires="x14">
        <control shapeId="2053" r:id="rId10" name="iniciar">
          <controlPr defaultSize="0" autoLine="0" r:id="rId11">
            <anchor moveWithCells="1">
              <from>
                <xdr:col>16</xdr:col>
                <xdr:colOff>0</xdr:colOff>
                <xdr:row>8</xdr:row>
                <xdr:rowOff>85725</xdr:rowOff>
              </from>
              <to>
                <xdr:col>17</xdr:col>
                <xdr:colOff>542925</xdr:colOff>
                <xdr:row>9</xdr:row>
                <xdr:rowOff>95250</xdr:rowOff>
              </to>
            </anchor>
          </controlPr>
        </control>
      </mc:Choice>
      <mc:Fallback>
        <control shapeId="2053" r:id="rId10" name="iniciar"/>
      </mc:Fallback>
    </mc:AlternateContent>
    <mc:AlternateContent xmlns:mc="http://schemas.openxmlformats.org/markup-compatibility/2006">
      <mc:Choice Requires="x14">
        <control shapeId="2052" r:id="rId12" name="CommandButton1">
          <controlPr defaultSize="0" autoLine="0" r:id="rId13">
            <anchor moveWithCells="1">
              <from>
                <xdr:col>17</xdr:col>
                <xdr:colOff>657225</xdr:colOff>
                <xdr:row>6</xdr:row>
                <xdr:rowOff>57150</xdr:rowOff>
              </from>
              <to>
                <xdr:col>19</xdr:col>
                <xdr:colOff>209550</xdr:colOff>
                <xdr:row>7</xdr:row>
                <xdr:rowOff>76200</xdr:rowOff>
              </to>
            </anchor>
          </controlPr>
        </control>
      </mc:Choice>
      <mc:Fallback>
        <control shapeId="2052" r:id="rId12" name="CommandButton1"/>
      </mc:Fallback>
    </mc:AlternateContent>
    <mc:AlternateContent xmlns:mc="http://schemas.openxmlformats.org/markup-compatibility/2006">
      <mc:Choice Requires="x14">
        <control shapeId="2049" r:id="rId14" name="numero">
          <controlPr autoLine="0" r:id="rId15">
            <anchor moveWithCells="1">
              <from>
                <xdr:col>7</xdr:col>
                <xdr:colOff>0</xdr:colOff>
                <xdr:row>1</xdr:row>
                <xdr:rowOff>95250</xdr:rowOff>
              </from>
              <to>
                <xdr:col>8</xdr:col>
                <xdr:colOff>333375</xdr:colOff>
                <xdr:row>2</xdr:row>
                <xdr:rowOff>104775</xdr:rowOff>
              </to>
            </anchor>
          </controlPr>
        </control>
      </mc:Choice>
      <mc:Fallback>
        <control shapeId="2049" r:id="rId14" name="numero"/>
      </mc:Fallback>
    </mc:AlternateContent>
    <mc:AlternateContent xmlns:mc="http://schemas.openxmlformats.org/markup-compatibility/2006">
      <mc:Choice Requires="x14">
        <control shapeId="2050" r:id="rId16" name="limpia">
          <controlPr defaultSize="0" autoLine="0" r:id="rId17">
            <anchor moveWithCells="1">
              <from>
                <xdr:col>16</xdr:col>
                <xdr:colOff>209550</xdr:colOff>
                <xdr:row>10</xdr:row>
                <xdr:rowOff>28575</xdr:rowOff>
              </from>
              <to>
                <xdr:col>17</xdr:col>
                <xdr:colOff>361950</xdr:colOff>
                <xdr:row>11</xdr:row>
                <xdr:rowOff>28575</xdr:rowOff>
              </to>
            </anchor>
          </controlPr>
        </control>
      </mc:Choice>
      <mc:Fallback>
        <control shapeId="2050" r:id="rId16" name="limpia"/>
      </mc:Fallback>
    </mc:AlternateContent>
    <mc:AlternateContent xmlns:mc="http://schemas.openxmlformats.org/markup-compatibility/2006">
      <mc:Choice Requires="x14">
        <control shapeId="2054" r:id="rId18" name="CommandButton2">
          <controlPr defaultSize="0" autoLine="0" autoPict="0" r:id="rId19">
            <anchor moveWithCells="1">
              <from>
                <xdr:col>15</xdr:col>
                <xdr:colOff>1171575</xdr:colOff>
                <xdr:row>2</xdr:row>
                <xdr:rowOff>238125</xdr:rowOff>
              </from>
              <to>
                <xdr:col>17</xdr:col>
                <xdr:colOff>419100</xdr:colOff>
                <xdr:row>3</xdr:row>
                <xdr:rowOff>238125</xdr:rowOff>
              </to>
            </anchor>
          </controlPr>
        </control>
      </mc:Choice>
      <mc:Fallback>
        <control shapeId="2054" r:id="rId18" name="CommandButton2"/>
      </mc:Fallback>
    </mc:AlternateContent>
    <mc:AlternateContent xmlns:mc="http://schemas.openxmlformats.org/markup-compatibility/2006">
      <mc:Choice Requires="x14">
        <control shapeId="2055" r:id="rId20" name="CommandButton3">
          <controlPr defaultSize="0" autoLine="0" autoPict="0" r:id="rId21">
            <anchor moveWithCells="1">
              <from>
                <xdr:col>15</xdr:col>
                <xdr:colOff>1181100</xdr:colOff>
                <xdr:row>4</xdr:row>
                <xdr:rowOff>114300</xdr:rowOff>
              </from>
              <to>
                <xdr:col>17</xdr:col>
                <xdr:colOff>419100</xdr:colOff>
                <xdr:row>5</xdr:row>
                <xdr:rowOff>104775</xdr:rowOff>
              </to>
            </anchor>
          </controlPr>
        </control>
      </mc:Choice>
      <mc:Fallback>
        <control shapeId="2055" r:id="rId20" name="CommandButton3"/>
      </mc:Fallback>
    </mc:AlternateContent>
    <mc:AlternateContent xmlns:mc="http://schemas.openxmlformats.org/markup-compatibility/2006">
      <mc:Choice Requires="x14">
        <control shapeId="2051" r:id="rId22" name="Drop Down 3">
          <controlPr defaultSize="0" autoLine="0" autoPict="0">
            <anchor moveWithCells="1">
              <from>
                <xdr:col>12</xdr:col>
                <xdr:colOff>114300</xdr:colOff>
                <xdr:row>6</xdr:row>
                <xdr:rowOff>276225</xdr:rowOff>
              </from>
              <to>
                <xdr:col>14</xdr:col>
                <xdr:colOff>476250</xdr:colOff>
                <xdr:row>8</xdr:row>
                <xdr:rowOff>161925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213DE-82DE-4160-BF9A-DACF6BC45E85}">
  <sheetPr codeName="Hoja3"/>
  <dimension ref="D2:AM29"/>
  <sheetViews>
    <sheetView topLeftCell="G1" workbookViewId="0">
      <selection activeCell="R7" sqref="R7"/>
    </sheetView>
  </sheetViews>
  <sheetFormatPr baseColWidth="10" defaultRowHeight="15" x14ac:dyDescent="0.25"/>
  <cols>
    <col min="3" max="3" width="2.5703125" customWidth="1"/>
    <col min="4" max="4" width="22" bestFit="1" customWidth="1"/>
    <col min="5" max="5" width="13" bestFit="1" customWidth="1"/>
    <col min="6" max="6" width="5" bestFit="1" customWidth="1"/>
    <col min="7" max="7" width="5.28515625" bestFit="1" customWidth="1"/>
    <col min="8" max="8" width="3.140625" customWidth="1"/>
    <col min="9" max="9" width="21.28515625" bestFit="1" customWidth="1"/>
    <col min="10" max="10" width="9.7109375" bestFit="1" customWidth="1"/>
    <col min="11" max="11" width="2.85546875" customWidth="1"/>
    <col min="12" max="12" width="12.140625" bestFit="1" customWidth="1"/>
    <col min="14" max="14" width="12.85546875" bestFit="1" customWidth="1"/>
    <col min="15" max="15" width="1.85546875" customWidth="1"/>
    <col min="16" max="16" width="2.7109375" customWidth="1"/>
    <col min="23" max="23" width="12.85546875" bestFit="1" customWidth="1"/>
    <col min="24" max="24" width="3.7109375" customWidth="1"/>
    <col min="33" max="33" width="12.7109375" bestFit="1" customWidth="1"/>
    <col min="37" max="37" width="2.28515625" customWidth="1"/>
    <col min="38" max="38" width="17" bestFit="1" customWidth="1"/>
    <col min="40" max="40" width="2.7109375" customWidth="1"/>
  </cols>
  <sheetData>
    <row r="2" spans="4:39" ht="8.25" customHeight="1" thickBot="1" x14ac:dyDescent="0.3"/>
    <row r="3" spans="4:39" ht="15.75" thickBot="1" x14ac:dyDescent="0.3">
      <c r="D3" t="s">
        <v>39</v>
      </c>
      <c r="E3">
        <v>16</v>
      </c>
      <c r="L3" s="178" t="s">
        <v>20</v>
      </c>
      <c r="M3" s="179"/>
      <c r="N3" s="20">
        <f ca="1">TODAY()</f>
        <v>46066</v>
      </c>
    </row>
    <row r="4" spans="4:39" x14ac:dyDescent="0.25">
      <c r="D4" t="s">
        <v>17</v>
      </c>
      <c r="E4">
        <f>COUNTA(Vendidos!B2:B101)-E3</f>
        <v>58</v>
      </c>
      <c r="F4" s="1">
        <v>0.7</v>
      </c>
      <c r="G4" s="1">
        <v>0.3</v>
      </c>
      <c r="I4" t="s">
        <v>8</v>
      </c>
      <c r="L4" s="180" t="s">
        <v>130</v>
      </c>
      <c r="M4" s="181"/>
      <c r="N4" s="59">
        <f>E8</f>
        <v>162.4</v>
      </c>
      <c r="Q4" t="s">
        <v>142</v>
      </c>
    </row>
    <row r="5" spans="4:39" x14ac:dyDescent="0.25">
      <c r="D5" t="s">
        <v>18</v>
      </c>
      <c r="E5">
        <v>20</v>
      </c>
      <c r="F5">
        <f>E6*F4</f>
        <v>812</v>
      </c>
      <c r="G5">
        <f>E6*G4</f>
        <v>348</v>
      </c>
      <c r="I5">
        <v>4</v>
      </c>
      <c r="L5" s="182" t="s">
        <v>111</v>
      </c>
      <c r="M5" s="183"/>
      <c r="N5" s="60">
        <f>E9</f>
        <v>162.4</v>
      </c>
      <c r="Q5" t="s">
        <v>143</v>
      </c>
    </row>
    <row r="6" spans="4:39" x14ac:dyDescent="0.25">
      <c r="D6" t="s">
        <v>21</v>
      </c>
      <c r="E6">
        <f>E4*E5</f>
        <v>1160</v>
      </c>
      <c r="L6" s="184" t="s">
        <v>82</v>
      </c>
      <c r="M6" s="185"/>
      <c r="N6" s="61">
        <f>E10</f>
        <v>162.4</v>
      </c>
      <c r="Q6" t="s">
        <v>102</v>
      </c>
      <c r="R6" t="s">
        <v>112</v>
      </c>
    </row>
    <row r="7" spans="4:39" ht="15.75" thickBot="1" x14ac:dyDescent="0.3">
      <c r="D7" t="s">
        <v>5</v>
      </c>
      <c r="L7" s="186" t="s">
        <v>49</v>
      </c>
      <c r="M7" s="187"/>
      <c r="N7" s="62">
        <f>E11</f>
        <v>324.8</v>
      </c>
    </row>
    <row r="8" spans="4:39" x14ac:dyDescent="0.25">
      <c r="D8" t="s">
        <v>7</v>
      </c>
      <c r="E8">
        <f>F5*0.2</f>
        <v>162.4</v>
      </c>
      <c r="M8" s="5" t="s">
        <v>33</v>
      </c>
      <c r="N8" s="19">
        <f>SUM(N4:N7)</f>
        <v>812</v>
      </c>
    </row>
    <row r="9" spans="4:39" x14ac:dyDescent="0.25">
      <c r="D9" t="s">
        <v>6</v>
      </c>
      <c r="E9">
        <f>F5*0.2</f>
        <v>162.4</v>
      </c>
    </row>
    <row r="10" spans="4:39" ht="15.75" thickBot="1" x14ac:dyDescent="0.3">
      <c r="D10" t="s">
        <v>19</v>
      </c>
      <c r="E10">
        <f>F5*0.2</f>
        <v>162.4</v>
      </c>
    </row>
    <row r="11" spans="4:39" ht="15.75" thickBot="1" x14ac:dyDescent="0.3">
      <c r="D11" t="s">
        <v>9</v>
      </c>
      <c r="E11">
        <f>F5*0.4</f>
        <v>324.8</v>
      </c>
      <c r="AA11" s="39" t="s">
        <v>13</v>
      </c>
      <c r="AB11" s="40" t="s">
        <v>43</v>
      </c>
      <c r="AC11" s="40" t="s">
        <v>44</v>
      </c>
      <c r="AD11" s="40" t="s">
        <v>45</v>
      </c>
      <c r="AE11" s="40" t="s">
        <v>32</v>
      </c>
      <c r="AF11" s="69" t="s">
        <v>75</v>
      </c>
      <c r="AG11" s="70" t="s">
        <v>40</v>
      </c>
    </row>
    <row r="12" spans="4:39" ht="15.75" thickBot="1" x14ac:dyDescent="0.3">
      <c r="Q12" s="39" t="s">
        <v>13</v>
      </c>
      <c r="R12" s="40" t="s">
        <v>43</v>
      </c>
      <c r="S12" s="40" t="s">
        <v>44</v>
      </c>
      <c r="T12" s="40" t="s">
        <v>45</v>
      </c>
      <c r="U12" s="40" t="s">
        <v>32</v>
      </c>
      <c r="V12" s="69" t="s">
        <v>75</v>
      </c>
      <c r="W12" s="70" t="s">
        <v>40</v>
      </c>
      <c r="AA12" s="74">
        <v>45683</v>
      </c>
      <c r="AB12" s="75">
        <v>47</v>
      </c>
      <c r="AC12" s="76">
        <v>940</v>
      </c>
      <c r="AD12" s="76">
        <v>658</v>
      </c>
      <c r="AE12" s="76">
        <v>282</v>
      </c>
      <c r="AF12" s="77">
        <v>28.200000000000003</v>
      </c>
      <c r="AG12" s="79">
        <v>1260</v>
      </c>
    </row>
    <row r="13" spans="4:39" ht="15.75" thickBot="1" x14ac:dyDescent="0.3">
      <c r="L13" s="4"/>
      <c r="M13" s="21"/>
      <c r="N13" s="21"/>
      <c r="Q13" s="74">
        <v>45752</v>
      </c>
      <c r="R13" s="75" t="s">
        <v>99</v>
      </c>
      <c r="S13" s="76">
        <v>960</v>
      </c>
      <c r="T13" s="76">
        <v>672</v>
      </c>
      <c r="U13" s="76">
        <v>288</v>
      </c>
      <c r="V13" s="77">
        <f>U13*0.1</f>
        <v>28.8</v>
      </c>
      <c r="W13" s="79">
        <f>SUM(U13:U24)</f>
        <v>1014</v>
      </c>
      <c r="AA13" s="73">
        <v>45690</v>
      </c>
      <c r="AB13" s="67">
        <v>31</v>
      </c>
      <c r="AC13" s="41">
        <v>620</v>
      </c>
      <c r="AD13" s="41">
        <v>434</v>
      </c>
      <c r="AE13" s="41">
        <v>186</v>
      </c>
      <c r="AF13" s="49">
        <v>18.600000000000001</v>
      </c>
      <c r="AG13" s="80" t="s">
        <v>75</v>
      </c>
    </row>
    <row r="14" spans="4:39" ht="15.75" thickBot="1" x14ac:dyDescent="0.3">
      <c r="I14" s="45" t="s">
        <v>47</v>
      </c>
      <c r="J14" s="46">
        <f ca="1">TODAY()</f>
        <v>46066</v>
      </c>
      <c r="K14" s="20"/>
      <c r="L14" s="4"/>
      <c r="M14" s="21"/>
      <c r="Q14" s="73">
        <v>45759</v>
      </c>
      <c r="R14" s="67" t="s">
        <v>115</v>
      </c>
      <c r="S14" s="41">
        <v>1260</v>
      </c>
      <c r="T14" s="41">
        <v>882</v>
      </c>
      <c r="U14" s="41">
        <v>378</v>
      </c>
      <c r="V14" s="49">
        <f t="shared" ref="V14:V24" si="0">U14*0.1</f>
        <v>37.800000000000004</v>
      </c>
      <c r="W14" s="80" t="s">
        <v>75</v>
      </c>
      <c r="AA14" s="72">
        <v>45695</v>
      </c>
      <c r="AB14" s="68">
        <v>33</v>
      </c>
      <c r="AC14" s="42">
        <v>660</v>
      </c>
      <c r="AD14" s="42">
        <v>462</v>
      </c>
      <c r="AE14" s="42">
        <v>198</v>
      </c>
      <c r="AF14" s="50">
        <v>19.8</v>
      </c>
      <c r="AG14" s="81">
        <v>126</v>
      </c>
    </row>
    <row r="15" spans="4:39" ht="15.75" thickBot="1" x14ac:dyDescent="0.3">
      <c r="I15" s="44" t="s">
        <v>37</v>
      </c>
      <c r="J15" s="47">
        <f>N4+N5</f>
        <v>324.8</v>
      </c>
      <c r="L15" s="4"/>
      <c r="M15" s="21"/>
      <c r="N15" s="21"/>
      <c r="Q15" s="72">
        <v>45780</v>
      </c>
      <c r="R15" s="68" t="s">
        <v>139</v>
      </c>
      <c r="S15" s="42">
        <v>1160</v>
      </c>
      <c r="T15" s="42">
        <v>812</v>
      </c>
      <c r="U15" s="42">
        <v>348</v>
      </c>
      <c r="V15" s="50">
        <f t="shared" si="0"/>
        <v>34.800000000000004</v>
      </c>
      <c r="W15" s="81">
        <f>W13*0.1</f>
        <v>101.4</v>
      </c>
      <c r="AA15" s="73">
        <v>45703</v>
      </c>
      <c r="AB15" s="67" t="s">
        <v>76</v>
      </c>
      <c r="AC15" s="41">
        <v>900</v>
      </c>
      <c r="AD15" s="41">
        <v>630</v>
      </c>
      <c r="AE15" s="41">
        <v>270</v>
      </c>
      <c r="AF15" s="49">
        <v>27</v>
      </c>
      <c r="AG15" s="84" t="s">
        <v>74</v>
      </c>
    </row>
    <row r="16" spans="4:39" ht="19.5" thickBot="1" x14ac:dyDescent="0.35">
      <c r="D16" s="176" t="s">
        <v>83</v>
      </c>
      <c r="E16" s="177"/>
      <c r="I16" s="43" t="s">
        <v>9</v>
      </c>
      <c r="J16" s="48">
        <f>N6+N7</f>
        <v>487.20000000000005</v>
      </c>
      <c r="L16" s="4"/>
      <c r="M16" s="21"/>
      <c r="Q16" s="73"/>
      <c r="R16" s="67"/>
      <c r="S16" s="41"/>
      <c r="T16" s="41"/>
      <c r="U16" s="41"/>
      <c r="V16" s="49">
        <f t="shared" si="0"/>
        <v>0</v>
      </c>
      <c r="W16" s="84" t="s">
        <v>74</v>
      </c>
      <c r="AA16" s="72">
        <v>45710</v>
      </c>
      <c r="AB16" s="68" t="s">
        <v>78</v>
      </c>
      <c r="AC16" s="42">
        <v>1080</v>
      </c>
      <c r="AD16" s="42">
        <v>756</v>
      </c>
      <c r="AE16" s="42">
        <v>324</v>
      </c>
      <c r="AF16" s="50">
        <v>32.4</v>
      </c>
      <c r="AG16" s="85">
        <v>170.1</v>
      </c>
      <c r="AL16" s="122" t="s">
        <v>117</v>
      </c>
      <c r="AM16" s="123">
        <v>2182</v>
      </c>
    </row>
    <row r="17" spans="4:39" ht="19.5" thickBot="1" x14ac:dyDescent="0.35">
      <c r="D17" s="101" t="s">
        <v>84</v>
      </c>
      <c r="E17" s="102">
        <f>E4</f>
        <v>58</v>
      </c>
      <c r="L17" s="4"/>
      <c r="M17" s="21"/>
      <c r="N17" s="21"/>
      <c r="Q17" s="72"/>
      <c r="R17" s="68"/>
      <c r="S17" s="42"/>
      <c r="T17" s="42"/>
      <c r="U17" s="42"/>
      <c r="V17" s="50">
        <f t="shared" si="0"/>
        <v>0</v>
      </c>
      <c r="W17" s="85">
        <f>((W13-W15)*0.15)+42.93</f>
        <v>179.82</v>
      </c>
      <c r="AA17" s="73"/>
      <c r="AB17" s="67"/>
      <c r="AC17" s="41"/>
      <c r="AD17" s="41"/>
      <c r="AE17" s="41"/>
      <c r="AF17" s="49">
        <v>0</v>
      </c>
      <c r="AG17" s="70"/>
      <c r="AL17" s="124" t="s">
        <v>118</v>
      </c>
      <c r="AM17" s="125">
        <v>243</v>
      </c>
    </row>
    <row r="18" spans="4:39" ht="19.5" thickBot="1" x14ac:dyDescent="0.35">
      <c r="D18" s="103" t="s">
        <v>18</v>
      </c>
      <c r="E18" s="104">
        <v>67.349999999999994</v>
      </c>
      <c r="L18" s="4"/>
      <c r="M18" s="21"/>
      <c r="Q18" s="73"/>
      <c r="R18" s="67"/>
      <c r="S18" s="41"/>
      <c r="T18" s="41"/>
      <c r="U18" s="41"/>
      <c r="V18" s="49">
        <f t="shared" si="0"/>
        <v>0</v>
      </c>
      <c r="W18" s="70"/>
      <c r="AA18" s="72"/>
      <c r="AB18" s="68"/>
      <c r="AC18" s="42"/>
      <c r="AD18" s="42"/>
      <c r="AE18" s="42"/>
      <c r="AF18" s="50">
        <v>0</v>
      </c>
      <c r="AG18" s="79"/>
      <c r="AL18" s="127" t="s">
        <v>119</v>
      </c>
      <c r="AM18" s="128">
        <v>466</v>
      </c>
    </row>
    <row r="19" spans="4:39" ht="19.5" thickBot="1" x14ac:dyDescent="0.35">
      <c r="D19" s="105" t="s">
        <v>21</v>
      </c>
      <c r="E19" s="106">
        <f>E18*E17</f>
        <v>3906.2999999999997</v>
      </c>
      <c r="L19" s="4"/>
      <c r="M19" s="21"/>
      <c r="N19" s="21"/>
      <c r="Q19" s="72"/>
      <c r="R19" s="68"/>
      <c r="S19" s="42"/>
      <c r="T19" s="42"/>
      <c r="U19" s="42"/>
      <c r="V19" s="50">
        <f t="shared" si="0"/>
        <v>0</v>
      </c>
      <c r="W19" s="79"/>
      <c r="AA19" s="73"/>
      <c r="AB19" s="67"/>
      <c r="AC19" s="41"/>
      <c r="AD19" s="41"/>
      <c r="AE19" s="41"/>
      <c r="AF19" s="49">
        <v>0</v>
      </c>
      <c r="AG19" s="80"/>
      <c r="AL19" s="131" t="s">
        <v>120</v>
      </c>
      <c r="AM19" s="132">
        <f>SUM(AM16:AM17)</f>
        <v>2425</v>
      </c>
    </row>
    <row r="20" spans="4:39" ht="19.5" thickBot="1" x14ac:dyDescent="0.35">
      <c r="D20" s="107" t="s">
        <v>45</v>
      </c>
      <c r="E20" s="108"/>
      <c r="L20" s="4"/>
      <c r="M20" s="21"/>
      <c r="Q20" s="73"/>
      <c r="R20" s="67"/>
      <c r="S20" s="41"/>
      <c r="T20" s="41"/>
      <c r="U20" s="41"/>
      <c r="V20" s="49">
        <f t="shared" si="0"/>
        <v>0</v>
      </c>
      <c r="W20" s="80"/>
      <c r="AA20" s="72"/>
      <c r="AB20" s="68"/>
      <c r="AC20" s="42"/>
      <c r="AD20" s="42"/>
      <c r="AE20" s="42"/>
      <c r="AF20" s="50">
        <v>0</v>
      </c>
      <c r="AG20" s="82"/>
      <c r="AL20" s="129" t="s">
        <v>121</v>
      </c>
      <c r="AM20" s="130">
        <v>260</v>
      </c>
    </row>
    <row r="21" spans="4:39" ht="18.75" x14ac:dyDescent="0.3">
      <c r="D21" s="101" t="s">
        <v>85</v>
      </c>
      <c r="E21" s="102">
        <f>E18*5</f>
        <v>336.75</v>
      </c>
      <c r="G21" t="s">
        <v>91</v>
      </c>
      <c r="H21" t="s">
        <v>92</v>
      </c>
      <c r="L21" s="4"/>
      <c r="M21" s="21"/>
      <c r="Q21" s="72"/>
      <c r="R21" s="68"/>
      <c r="S21" s="42"/>
      <c r="T21" s="42"/>
      <c r="U21" s="42"/>
      <c r="V21" s="50">
        <f t="shared" si="0"/>
        <v>0</v>
      </c>
      <c r="W21" s="82"/>
      <c r="AA21" s="73"/>
      <c r="AB21" s="67"/>
      <c r="AC21" s="41"/>
      <c r="AD21" s="41"/>
      <c r="AE21" s="41"/>
      <c r="AF21" s="49">
        <v>0</v>
      </c>
      <c r="AG21" s="80" t="s">
        <v>46</v>
      </c>
      <c r="AL21" s="124" t="s">
        <v>122</v>
      </c>
      <c r="AM21" s="126">
        <v>905</v>
      </c>
    </row>
    <row r="22" spans="4:39" ht="19.5" thickBot="1" x14ac:dyDescent="0.35">
      <c r="D22" s="103" t="s">
        <v>86</v>
      </c>
      <c r="E22" s="104">
        <f>E18*10</f>
        <v>673.5</v>
      </c>
      <c r="L22" s="4" t="s">
        <v>116</v>
      </c>
      <c r="M22" s="21">
        <v>2182</v>
      </c>
      <c r="Q22" s="73"/>
      <c r="R22" s="67"/>
      <c r="S22" s="41"/>
      <c r="T22" s="41"/>
      <c r="U22" s="41"/>
      <c r="V22" s="49">
        <f t="shared" si="0"/>
        <v>0</v>
      </c>
      <c r="W22" s="80" t="s">
        <v>46</v>
      </c>
      <c r="AA22" s="72"/>
      <c r="AB22" s="68"/>
      <c r="AC22" s="42"/>
      <c r="AD22" s="42"/>
      <c r="AE22" s="42"/>
      <c r="AF22" s="50">
        <v>0</v>
      </c>
      <c r="AG22" s="83">
        <v>963.9</v>
      </c>
      <c r="AL22" s="127" t="s">
        <v>123</v>
      </c>
      <c r="AM22" s="133">
        <v>1990</v>
      </c>
    </row>
    <row r="23" spans="4:39" ht="19.5" thickBot="1" x14ac:dyDescent="0.35">
      <c r="D23" s="105" t="s">
        <v>87</v>
      </c>
      <c r="E23" s="106">
        <f>E18*15</f>
        <v>1010.2499999999999</v>
      </c>
      <c r="L23" s="4"/>
      <c r="M23" s="21">
        <v>466</v>
      </c>
      <c r="Q23" s="72"/>
      <c r="R23" s="68"/>
      <c r="S23" s="42"/>
      <c r="T23" s="42"/>
      <c r="U23" s="42"/>
      <c r="V23" s="50">
        <f t="shared" si="0"/>
        <v>0</v>
      </c>
      <c r="W23" s="83">
        <f>W13-(W17+W15)</f>
        <v>732.78</v>
      </c>
      <c r="AA23" s="73"/>
      <c r="AB23" s="67"/>
      <c r="AC23" s="41"/>
      <c r="AD23" s="41"/>
      <c r="AE23" s="41"/>
      <c r="AF23" s="41">
        <v>0</v>
      </c>
      <c r="AG23" s="78"/>
      <c r="AL23" s="131" t="s">
        <v>124</v>
      </c>
      <c r="AM23" s="132">
        <f>SUM(AM20:AM22)</f>
        <v>3155</v>
      </c>
    </row>
    <row r="24" spans="4:39" ht="19.5" thickBot="1" x14ac:dyDescent="0.35">
      <c r="D24" s="97" t="s">
        <v>88</v>
      </c>
      <c r="E24" s="99">
        <f>SUM(E21:E23)</f>
        <v>2020.5</v>
      </c>
      <c r="L24" s="4"/>
      <c r="M24" s="21">
        <v>243</v>
      </c>
      <c r="Q24" s="73"/>
      <c r="R24" s="67"/>
      <c r="S24" s="41"/>
      <c r="T24" s="41"/>
      <c r="U24" s="41"/>
      <c r="V24" s="41">
        <f t="shared" si="0"/>
        <v>0</v>
      </c>
      <c r="W24" s="78"/>
      <c r="AM24" s="121">
        <f>AM23-AM19</f>
        <v>730</v>
      </c>
    </row>
    <row r="25" spans="4:39" ht="19.5" thickBot="1" x14ac:dyDescent="0.35">
      <c r="D25" s="98" t="s">
        <v>89</v>
      </c>
      <c r="E25" s="100">
        <f>E19-E24</f>
        <v>1885.7999999999997</v>
      </c>
      <c r="M25" s="121">
        <f>SUM(M22:M24)</f>
        <v>2891</v>
      </c>
      <c r="AC25" t="s">
        <v>77</v>
      </c>
      <c r="AG25">
        <v>150</v>
      </c>
    </row>
    <row r="26" spans="4:39" x14ac:dyDescent="0.25">
      <c r="D26" t="s">
        <v>93</v>
      </c>
      <c r="J26">
        <v>6</v>
      </c>
      <c r="M26" s="121">
        <v>260</v>
      </c>
      <c r="AC26" t="s">
        <v>79</v>
      </c>
      <c r="AG26">
        <v>150</v>
      </c>
    </row>
    <row r="27" spans="4:39" x14ac:dyDescent="0.25">
      <c r="J27">
        <v>5.92</v>
      </c>
      <c r="M27" s="121">
        <v>905</v>
      </c>
      <c r="AF27" s="87" t="s">
        <v>80</v>
      </c>
      <c r="AG27" s="88">
        <v>663.9</v>
      </c>
    </row>
    <row r="28" spans="4:39" x14ac:dyDescent="0.25">
      <c r="J28">
        <f>J26-J27</f>
        <v>8.0000000000000071E-2</v>
      </c>
      <c r="M28" s="121">
        <v>1990</v>
      </c>
      <c r="V28" s="89"/>
      <c r="W28" s="90"/>
    </row>
    <row r="29" spans="4:39" x14ac:dyDescent="0.25">
      <c r="J29">
        <f>J28*100</f>
        <v>8.0000000000000071</v>
      </c>
      <c r="M29" s="121">
        <f>SUM(M26:M28)</f>
        <v>3155</v>
      </c>
    </row>
  </sheetData>
  <mergeCells count="6">
    <mergeCell ref="D16:E16"/>
    <mergeCell ref="L3:M3"/>
    <mergeCell ref="L4:M4"/>
    <mergeCell ref="L5:M5"/>
    <mergeCell ref="L6:M6"/>
    <mergeCell ref="L7:M7"/>
  </mergeCells>
  <pageMargins left="0.7" right="0.7" top="0.75" bottom="0.75" header="0.3" footer="0.3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48CB3-77E1-4E7E-906A-474D4765891E}">
  <sheetPr codeName="Hoja14"/>
  <dimension ref="A1:Q101"/>
  <sheetViews>
    <sheetView workbookViewId="0">
      <pane ySplit="2" topLeftCell="A17" activePane="bottomLeft" state="frozen"/>
      <selection pane="bottomLeft" activeCell="A48" sqref="A48"/>
    </sheetView>
  </sheetViews>
  <sheetFormatPr baseColWidth="10" defaultRowHeight="15" x14ac:dyDescent="0.25"/>
  <cols>
    <col min="1" max="1" width="15" style="2" bestFit="1" customWidth="1"/>
    <col min="2" max="2" width="22.140625" customWidth="1"/>
    <col min="6" max="8" width="3" bestFit="1" customWidth="1"/>
    <col min="11" max="11" width="4" customWidth="1"/>
    <col min="15" max="15" width="2.42578125" customWidth="1"/>
  </cols>
  <sheetData>
    <row r="1" spans="1:3" x14ac:dyDescent="0.25">
      <c r="A1" s="2" t="s">
        <v>11</v>
      </c>
      <c r="B1" t="s">
        <v>12</v>
      </c>
      <c r="C1" t="s">
        <v>29</v>
      </c>
    </row>
    <row r="2" spans="1:3" x14ac:dyDescent="0.25">
      <c r="A2" s="2">
        <v>1</v>
      </c>
      <c r="B2" t="s">
        <v>125</v>
      </c>
      <c r="C2">
        <f>COUNTA(B2:B101)</f>
        <v>74</v>
      </c>
    </row>
    <row r="3" spans="1:3" x14ac:dyDescent="0.25">
      <c r="A3" s="2">
        <v>2</v>
      </c>
      <c r="B3" t="s">
        <v>126</v>
      </c>
    </row>
    <row r="4" spans="1:3" x14ac:dyDescent="0.25">
      <c r="A4" s="2">
        <v>3</v>
      </c>
      <c r="B4" t="s">
        <v>112</v>
      </c>
    </row>
    <row r="5" spans="1:3" x14ac:dyDescent="0.25">
      <c r="A5" s="2">
        <v>4</v>
      </c>
      <c r="B5" t="s">
        <v>127</v>
      </c>
    </row>
    <row r="6" spans="1:3" x14ac:dyDescent="0.25">
      <c r="A6" s="2">
        <v>5</v>
      </c>
      <c r="B6" t="s">
        <v>127</v>
      </c>
    </row>
    <row r="7" spans="1:3" x14ac:dyDescent="0.25">
      <c r="A7" s="2">
        <v>6</v>
      </c>
      <c r="B7" t="s">
        <v>127</v>
      </c>
    </row>
    <row r="8" spans="1:3" x14ac:dyDescent="0.25">
      <c r="A8" s="2">
        <v>7</v>
      </c>
      <c r="B8" t="s">
        <v>96</v>
      </c>
    </row>
    <row r="9" spans="1:3" x14ac:dyDescent="0.25">
      <c r="A9" s="2">
        <v>8</v>
      </c>
      <c r="B9" t="s">
        <v>96</v>
      </c>
    </row>
    <row r="10" spans="1:3" x14ac:dyDescent="0.25">
      <c r="A10" s="2">
        <v>9</v>
      </c>
      <c r="B10" t="s">
        <v>96</v>
      </c>
    </row>
    <row r="11" spans="1:3" x14ac:dyDescent="0.25">
      <c r="A11" s="2">
        <v>10</v>
      </c>
      <c r="B11" t="s">
        <v>133</v>
      </c>
    </row>
    <row r="12" spans="1:3" x14ac:dyDescent="0.25">
      <c r="A12" s="2">
        <v>11</v>
      </c>
      <c r="B12" t="s">
        <v>104</v>
      </c>
    </row>
    <row r="13" spans="1:3" x14ac:dyDescent="0.25">
      <c r="A13" s="2">
        <v>12</v>
      </c>
      <c r="B13" t="s">
        <v>94</v>
      </c>
    </row>
    <row r="14" spans="1:3" x14ac:dyDescent="0.25">
      <c r="A14" s="2">
        <v>13</v>
      </c>
      <c r="B14" t="s">
        <v>132</v>
      </c>
    </row>
    <row r="15" spans="1:3" x14ac:dyDescent="0.25">
      <c r="A15" s="2">
        <v>14</v>
      </c>
      <c r="B15" t="s">
        <v>134</v>
      </c>
    </row>
    <row r="16" spans="1:3" x14ac:dyDescent="0.25">
      <c r="A16" s="2">
        <v>15</v>
      </c>
      <c r="B16" t="s">
        <v>94</v>
      </c>
    </row>
    <row r="17" spans="1:17" x14ac:dyDescent="0.25">
      <c r="A17" s="2">
        <v>16</v>
      </c>
      <c r="B17" t="s">
        <v>96</v>
      </c>
      <c r="Q17" s="86"/>
    </row>
    <row r="18" spans="1:17" x14ac:dyDescent="0.25">
      <c r="A18" s="2">
        <v>17</v>
      </c>
      <c r="B18" t="s">
        <v>103</v>
      </c>
    </row>
    <row r="19" spans="1:17" x14ac:dyDescent="0.25">
      <c r="A19" s="2">
        <v>18</v>
      </c>
      <c r="B19" t="s">
        <v>96</v>
      </c>
    </row>
    <row r="20" spans="1:17" x14ac:dyDescent="0.25">
      <c r="A20" s="2">
        <v>19</v>
      </c>
      <c r="B20" t="s">
        <v>104</v>
      </c>
    </row>
    <row r="21" spans="1:17" x14ac:dyDescent="0.25">
      <c r="A21" s="2">
        <v>20</v>
      </c>
      <c r="B21" t="s">
        <v>126</v>
      </c>
    </row>
    <row r="22" spans="1:17" x14ac:dyDescent="0.25">
      <c r="A22" s="2">
        <v>21</v>
      </c>
      <c r="B22" t="s">
        <v>95</v>
      </c>
    </row>
    <row r="23" spans="1:17" x14ac:dyDescent="0.25">
      <c r="A23" s="2">
        <v>22</v>
      </c>
      <c r="B23" t="s">
        <v>131</v>
      </c>
    </row>
    <row r="24" spans="1:17" x14ac:dyDescent="0.25">
      <c r="A24" s="2">
        <v>23</v>
      </c>
      <c r="B24" t="s">
        <v>96</v>
      </c>
    </row>
    <row r="25" spans="1:17" x14ac:dyDescent="0.25">
      <c r="A25" s="2">
        <v>24</v>
      </c>
      <c r="B25" t="s">
        <v>128</v>
      </c>
    </row>
    <row r="26" spans="1:17" x14ac:dyDescent="0.25">
      <c r="A26" s="2">
        <v>25</v>
      </c>
      <c r="B26" t="s">
        <v>135</v>
      </c>
    </row>
    <row r="27" spans="1:17" x14ac:dyDescent="0.25">
      <c r="A27" s="2">
        <v>26</v>
      </c>
      <c r="B27" t="s">
        <v>96</v>
      </c>
    </row>
    <row r="28" spans="1:17" x14ac:dyDescent="0.25">
      <c r="A28" s="2">
        <v>27</v>
      </c>
      <c r="B28" t="s">
        <v>113</v>
      </c>
    </row>
    <row r="29" spans="1:17" x14ac:dyDescent="0.25">
      <c r="A29" s="2">
        <v>28</v>
      </c>
    </row>
    <row r="30" spans="1:17" x14ac:dyDescent="0.25">
      <c r="A30" s="2">
        <v>29</v>
      </c>
    </row>
    <row r="31" spans="1:17" x14ac:dyDescent="0.25">
      <c r="A31" s="2">
        <v>30</v>
      </c>
      <c r="B31" t="s">
        <v>102</v>
      </c>
    </row>
    <row r="32" spans="1:17" x14ac:dyDescent="0.25">
      <c r="A32" s="2">
        <v>31</v>
      </c>
      <c r="B32" t="s">
        <v>95</v>
      </c>
    </row>
    <row r="33" spans="1:2" x14ac:dyDescent="0.25">
      <c r="A33" s="2">
        <v>32</v>
      </c>
      <c r="B33" t="s">
        <v>136</v>
      </c>
    </row>
    <row r="34" spans="1:2" x14ac:dyDescent="0.25">
      <c r="A34" s="2">
        <v>33</v>
      </c>
      <c r="B34" t="s">
        <v>127</v>
      </c>
    </row>
    <row r="35" spans="1:2" x14ac:dyDescent="0.25">
      <c r="A35" s="2">
        <v>34</v>
      </c>
      <c r="B35" t="s">
        <v>127</v>
      </c>
    </row>
    <row r="36" spans="1:2" x14ac:dyDescent="0.25">
      <c r="A36" s="2">
        <v>35</v>
      </c>
    </row>
    <row r="37" spans="1:2" x14ac:dyDescent="0.25">
      <c r="A37" s="2">
        <v>36</v>
      </c>
    </row>
    <row r="38" spans="1:2" x14ac:dyDescent="0.25">
      <c r="A38" s="2">
        <v>37</v>
      </c>
      <c r="B38" t="s">
        <v>94</v>
      </c>
    </row>
    <row r="39" spans="1:2" x14ac:dyDescent="0.25">
      <c r="A39" s="2">
        <v>38</v>
      </c>
    </row>
    <row r="40" spans="1:2" x14ac:dyDescent="0.25">
      <c r="A40" s="2">
        <v>39</v>
      </c>
      <c r="B40" t="s">
        <v>92</v>
      </c>
    </row>
    <row r="41" spans="1:2" x14ac:dyDescent="0.25">
      <c r="A41" s="2">
        <v>40</v>
      </c>
      <c r="B41" t="s">
        <v>101</v>
      </c>
    </row>
    <row r="42" spans="1:2" x14ac:dyDescent="0.25">
      <c r="A42" s="2">
        <v>41</v>
      </c>
    </row>
    <row r="43" spans="1:2" x14ac:dyDescent="0.25">
      <c r="A43" s="2">
        <v>42</v>
      </c>
      <c r="B43" t="s">
        <v>92</v>
      </c>
    </row>
    <row r="44" spans="1:2" x14ac:dyDescent="0.25">
      <c r="A44" s="2">
        <v>43</v>
      </c>
      <c r="B44" t="s">
        <v>132</v>
      </c>
    </row>
    <row r="45" spans="1:2" x14ac:dyDescent="0.25">
      <c r="A45" s="2">
        <v>44</v>
      </c>
      <c r="B45" t="s">
        <v>134</v>
      </c>
    </row>
    <row r="46" spans="1:2" x14ac:dyDescent="0.25">
      <c r="A46" s="2">
        <v>45</v>
      </c>
      <c r="B46" t="s">
        <v>97</v>
      </c>
    </row>
    <row r="47" spans="1:2" x14ac:dyDescent="0.25">
      <c r="A47" s="2">
        <v>46</v>
      </c>
      <c r="B47" t="s">
        <v>135</v>
      </c>
    </row>
    <row r="48" spans="1:2" x14ac:dyDescent="0.25">
      <c r="A48" s="2">
        <v>47</v>
      </c>
      <c r="B48" t="s">
        <v>112</v>
      </c>
    </row>
    <row r="49" spans="1:2" x14ac:dyDescent="0.25">
      <c r="A49" s="2">
        <v>48</v>
      </c>
      <c r="B49" t="s">
        <v>105</v>
      </c>
    </row>
    <row r="50" spans="1:2" x14ac:dyDescent="0.25">
      <c r="A50" s="2">
        <v>49</v>
      </c>
      <c r="B50" t="s">
        <v>92</v>
      </c>
    </row>
    <row r="51" spans="1:2" x14ac:dyDescent="0.25">
      <c r="A51" s="2">
        <v>50</v>
      </c>
      <c r="B51" t="s">
        <v>132</v>
      </c>
    </row>
    <row r="52" spans="1:2" x14ac:dyDescent="0.25">
      <c r="A52" s="2">
        <v>51</v>
      </c>
      <c r="B52" t="s">
        <v>137</v>
      </c>
    </row>
    <row r="53" spans="1:2" x14ac:dyDescent="0.25">
      <c r="A53" s="2">
        <v>52</v>
      </c>
    </row>
    <row r="54" spans="1:2" x14ac:dyDescent="0.25">
      <c r="A54" s="2">
        <v>53</v>
      </c>
      <c r="B54" t="s">
        <v>100</v>
      </c>
    </row>
    <row r="55" spans="1:2" x14ac:dyDescent="0.25">
      <c r="A55" s="2">
        <v>54</v>
      </c>
      <c r="B55" t="s">
        <v>101</v>
      </c>
    </row>
    <row r="56" spans="1:2" x14ac:dyDescent="0.25">
      <c r="A56" s="2">
        <v>55</v>
      </c>
      <c r="B56" t="s">
        <v>129</v>
      </c>
    </row>
    <row r="57" spans="1:2" x14ac:dyDescent="0.25">
      <c r="A57" s="2">
        <v>56</v>
      </c>
      <c r="B57" t="s">
        <v>113</v>
      </c>
    </row>
    <row r="58" spans="1:2" x14ac:dyDescent="0.25">
      <c r="A58" s="2">
        <v>57</v>
      </c>
    </row>
    <row r="59" spans="1:2" x14ac:dyDescent="0.25">
      <c r="A59" s="2">
        <v>58</v>
      </c>
      <c r="B59" t="s">
        <v>95</v>
      </c>
    </row>
    <row r="60" spans="1:2" x14ac:dyDescent="0.25">
      <c r="A60" s="2">
        <v>59</v>
      </c>
    </row>
    <row r="61" spans="1:2" x14ac:dyDescent="0.25">
      <c r="A61" s="2">
        <v>60</v>
      </c>
      <c r="B61" t="s">
        <v>102</v>
      </c>
    </row>
    <row r="62" spans="1:2" x14ac:dyDescent="0.25">
      <c r="A62" s="2">
        <v>61</v>
      </c>
      <c r="B62" t="s">
        <v>98</v>
      </c>
    </row>
    <row r="63" spans="1:2" x14ac:dyDescent="0.25">
      <c r="A63" s="2">
        <v>62</v>
      </c>
    </row>
    <row r="64" spans="1:2" x14ac:dyDescent="0.25">
      <c r="A64" s="2">
        <v>63</v>
      </c>
      <c r="B64" t="s">
        <v>128</v>
      </c>
    </row>
    <row r="65" spans="1:2" x14ac:dyDescent="0.25">
      <c r="A65" s="2">
        <v>64</v>
      </c>
      <c r="B65" t="s">
        <v>138</v>
      </c>
    </row>
    <row r="66" spans="1:2" x14ac:dyDescent="0.25">
      <c r="A66" s="2">
        <v>65</v>
      </c>
      <c r="B66" t="s">
        <v>100</v>
      </c>
    </row>
    <row r="67" spans="1:2" x14ac:dyDescent="0.25">
      <c r="A67" s="2">
        <v>66</v>
      </c>
    </row>
    <row r="68" spans="1:2" x14ac:dyDescent="0.25">
      <c r="A68" s="2">
        <v>67</v>
      </c>
    </row>
    <row r="69" spans="1:2" x14ac:dyDescent="0.25">
      <c r="A69" s="2">
        <v>68</v>
      </c>
    </row>
    <row r="70" spans="1:2" x14ac:dyDescent="0.25">
      <c r="A70" s="2">
        <v>69</v>
      </c>
      <c r="B70" t="s">
        <v>137</v>
      </c>
    </row>
    <row r="71" spans="1:2" x14ac:dyDescent="0.25">
      <c r="A71" s="2">
        <v>70</v>
      </c>
      <c r="B71" t="s">
        <v>134</v>
      </c>
    </row>
    <row r="72" spans="1:2" x14ac:dyDescent="0.25">
      <c r="A72" s="2">
        <v>71</v>
      </c>
      <c r="B72" t="s">
        <v>98</v>
      </c>
    </row>
    <row r="73" spans="1:2" x14ac:dyDescent="0.25">
      <c r="A73" s="2">
        <v>72</v>
      </c>
    </row>
    <row r="74" spans="1:2" x14ac:dyDescent="0.25">
      <c r="A74" s="2">
        <v>73</v>
      </c>
      <c r="B74" t="s">
        <v>101</v>
      </c>
    </row>
    <row r="75" spans="1:2" x14ac:dyDescent="0.25">
      <c r="A75" s="2">
        <v>74</v>
      </c>
    </row>
    <row r="76" spans="1:2" x14ac:dyDescent="0.25">
      <c r="A76" s="2">
        <v>75</v>
      </c>
      <c r="B76" t="s">
        <v>98</v>
      </c>
    </row>
    <row r="77" spans="1:2" x14ac:dyDescent="0.25">
      <c r="A77" s="2">
        <v>76</v>
      </c>
      <c r="B77" t="s">
        <v>112</v>
      </c>
    </row>
    <row r="78" spans="1:2" x14ac:dyDescent="0.25">
      <c r="A78" s="2">
        <v>77</v>
      </c>
      <c r="B78" t="s">
        <v>104</v>
      </c>
    </row>
    <row r="79" spans="1:2" x14ac:dyDescent="0.25">
      <c r="A79" s="2">
        <v>78</v>
      </c>
      <c r="B79" t="s">
        <v>138</v>
      </c>
    </row>
    <row r="80" spans="1:2" x14ac:dyDescent="0.25">
      <c r="A80" s="2">
        <v>79</v>
      </c>
      <c r="B80" t="s">
        <v>97</v>
      </c>
    </row>
    <row r="81" spans="1:13" x14ac:dyDescent="0.25">
      <c r="A81" s="2">
        <v>80</v>
      </c>
      <c r="B81" t="s">
        <v>135</v>
      </c>
    </row>
    <row r="82" spans="1:13" x14ac:dyDescent="0.25">
      <c r="A82" s="2">
        <v>81</v>
      </c>
      <c r="B82" t="s">
        <v>135</v>
      </c>
    </row>
    <row r="83" spans="1:13" x14ac:dyDescent="0.25">
      <c r="A83" s="2">
        <v>82</v>
      </c>
      <c r="B83" t="s">
        <v>103</v>
      </c>
      <c r="M83" s="86"/>
    </row>
    <row r="84" spans="1:13" x14ac:dyDescent="0.25">
      <c r="A84" s="2">
        <v>83</v>
      </c>
      <c r="B84" t="s">
        <v>81</v>
      </c>
      <c r="M84" s="86"/>
    </row>
    <row r="85" spans="1:13" x14ac:dyDescent="0.25">
      <c r="A85" s="2">
        <v>84</v>
      </c>
      <c r="B85" t="s">
        <v>112</v>
      </c>
      <c r="M85" s="86"/>
    </row>
    <row r="86" spans="1:13" x14ac:dyDescent="0.25">
      <c r="A86" s="2">
        <v>85</v>
      </c>
    </row>
    <row r="87" spans="1:13" x14ac:dyDescent="0.25">
      <c r="A87" s="2">
        <v>86</v>
      </c>
    </row>
    <row r="88" spans="1:13" x14ac:dyDescent="0.25">
      <c r="A88" s="2">
        <v>87</v>
      </c>
      <c r="B88" t="s">
        <v>114</v>
      </c>
    </row>
    <row r="89" spans="1:13" x14ac:dyDescent="0.25">
      <c r="A89" s="2">
        <v>88</v>
      </c>
    </row>
    <row r="90" spans="1:13" x14ac:dyDescent="0.25">
      <c r="A90" s="2">
        <v>89</v>
      </c>
      <c r="B90" t="s">
        <v>114</v>
      </c>
    </row>
    <row r="91" spans="1:13" x14ac:dyDescent="0.25">
      <c r="A91" s="2">
        <v>90</v>
      </c>
    </row>
    <row r="92" spans="1:13" x14ac:dyDescent="0.25">
      <c r="A92" s="2">
        <v>91</v>
      </c>
    </row>
    <row r="93" spans="1:13" x14ac:dyDescent="0.25">
      <c r="A93" s="2">
        <v>92</v>
      </c>
    </row>
    <row r="94" spans="1:13" x14ac:dyDescent="0.25">
      <c r="A94" s="2">
        <v>93</v>
      </c>
    </row>
    <row r="95" spans="1:13" x14ac:dyDescent="0.25">
      <c r="A95" s="2">
        <v>94</v>
      </c>
    </row>
    <row r="96" spans="1:13" x14ac:dyDescent="0.25">
      <c r="A96" s="2">
        <v>95</v>
      </c>
      <c r="B96" t="s">
        <v>113</v>
      </c>
    </row>
    <row r="97" spans="1:2" x14ac:dyDescent="0.25">
      <c r="A97" s="2">
        <v>96</v>
      </c>
    </row>
    <row r="98" spans="1:2" x14ac:dyDescent="0.25">
      <c r="A98" s="2">
        <v>97</v>
      </c>
    </row>
    <row r="99" spans="1:2" x14ac:dyDescent="0.25">
      <c r="A99" s="2">
        <v>98</v>
      </c>
    </row>
    <row r="100" spans="1:2" x14ac:dyDescent="0.25">
      <c r="A100" s="2">
        <v>99</v>
      </c>
      <c r="B100" t="s">
        <v>96</v>
      </c>
    </row>
    <row r="101" spans="1:2" x14ac:dyDescent="0.25">
      <c r="A101" s="2">
        <v>100</v>
      </c>
      <c r="B101" t="s">
        <v>131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05253-DB81-4FA2-91E5-FBF4D5663A93}">
  <sheetPr codeName="Hoja2"/>
  <dimension ref="A1:AG22"/>
  <sheetViews>
    <sheetView workbookViewId="0">
      <selection activeCell="V21" sqref="V21:Y21"/>
    </sheetView>
  </sheetViews>
  <sheetFormatPr baseColWidth="10" defaultRowHeight="15" x14ac:dyDescent="0.25"/>
  <cols>
    <col min="1" max="1" width="17.5703125" bestFit="1" customWidth="1"/>
    <col min="2" max="2" width="10.85546875" bestFit="1" customWidth="1"/>
    <col min="3" max="3" width="12.5703125" bestFit="1" customWidth="1"/>
    <col min="4" max="10" width="2" bestFit="1" customWidth="1"/>
    <col min="11" max="19" width="3" bestFit="1" customWidth="1"/>
    <col min="20" max="26" width="11.140625" customWidth="1"/>
    <col min="27" max="28" width="3" bestFit="1" customWidth="1"/>
    <col min="29" max="33" width="11.140625" customWidth="1"/>
    <col min="34" max="100" width="3" bestFit="1" customWidth="1"/>
    <col min="101" max="101" width="4" bestFit="1" customWidth="1"/>
    <col min="102" max="102" width="12.5703125" bestFit="1" customWidth="1"/>
  </cols>
  <sheetData>
    <row r="1" spans="1:33" ht="25.5" customHeight="1" x14ac:dyDescent="0.25">
      <c r="A1" s="91" t="s">
        <v>12</v>
      </c>
      <c r="B1" t="s">
        <v>101</v>
      </c>
    </row>
    <row r="3" spans="1:33" x14ac:dyDescent="0.25">
      <c r="A3" s="91" t="s">
        <v>34</v>
      </c>
    </row>
    <row r="4" spans="1:33" x14ac:dyDescent="0.25">
      <c r="A4" s="92">
        <v>40</v>
      </c>
    </row>
    <row r="5" spans="1:33" x14ac:dyDescent="0.25">
      <c r="A5" s="92">
        <v>54</v>
      </c>
    </row>
    <row r="6" spans="1:33" x14ac:dyDescent="0.25">
      <c r="A6" s="92">
        <v>73</v>
      </c>
    </row>
    <row r="7" spans="1:33" x14ac:dyDescent="0.25">
      <c r="A7" s="92" t="s">
        <v>35</v>
      </c>
    </row>
    <row r="10" spans="1:33" ht="14.25" customHeight="1" x14ac:dyDescent="0.25"/>
    <row r="15" spans="1:33" ht="15.75" thickBot="1" x14ac:dyDescent="0.3"/>
    <row r="16" spans="1:33" ht="32.25" thickBot="1" x14ac:dyDescent="0.3">
      <c r="U16" s="51" t="s">
        <v>0</v>
      </c>
      <c r="V16" s="52" t="s">
        <v>1</v>
      </c>
      <c r="W16" s="52" t="s">
        <v>2</v>
      </c>
      <c r="X16" s="52" t="s">
        <v>3</v>
      </c>
      <c r="Y16" s="53" t="s">
        <v>4</v>
      </c>
      <c r="AC16" s="51" t="s">
        <v>0</v>
      </c>
      <c r="AD16" s="52" t="s">
        <v>1</v>
      </c>
      <c r="AE16" s="52" t="s">
        <v>2</v>
      </c>
      <c r="AF16" s="52" t="s">
        <v>3</v>
      </c>
      <c r="AG16" s="53" t="s">
        <v>4</v>
      </c>
    </row>
    <row r="17" spans="21:33" ht="31.5" x14ac:dyDescent="0.25">
      <c r="U17" s="213" t="s">
        <v>50</v>
      </c>
      <c r="V17" s="203" t="s">
        <v>55</v>
      </c>
      <c r="W17" s="203" t="s">
        <v>60</v>
      </c>
      <c r="X17" s="203" t="s">
        <v>62</v>
      </c>
      <c r="Y17" s="206" t="s">
        <v>70</v>
      </c>
      <c r="AC17" s="210"/>
      <c r="AD17" s="203"/>
      <c r="AE17" s="203"/>
      <c r="AF17" s="203"/>
      <c r="AG17" s="206"/>
    </row>
    <row r="18" spans="21:33" ht="31.5" x14ac:dyDescent="0.25">
      <c r="U18" s="94" t="s">
        <v>51</v>
      </c>
      <c r="V18" s="204" t="s">
        <v>56</v>
      </c>
      <c r="W18" s="204" t="s">
        <v>67</v>
      </c>
      <c r="X18" s="204" t="s">
        <v>61</v>
      </c>
      <c r="Y18" s="207" t="s">
        <v>71</v>
      </c>
      <c r="AC18" s="208"/>
      <c r="AD18" s="204"/>
      <c r="AE18" s="204"/>
      <c r="AF18" s="204"/>
      <c r="AG18" s="207"/>
    </row>
    <row r="19" spans="21:33" ht="31.5" x14ac:dyDescent="0.25">
      <c r="U19" s="94" t="s">
        <v>52</v>
      </c>
      <c r="V19" s="204" t="s">
        <v>57</v>
      </c>
      <c r="W19" s="209" t="s">
        <v>48</v>
      </c>
      <c r="X19" s="204" t="s">
        <v>63</v>
      </c>
      <c r="Y19" s="207" t="s">
        <v>69</v>
      </c>
      <c r="AC19" s="208"/>
      <c r="AD19" s="204"/>
      <c r="AE19" s="209" t="s">
        <v>48</v>
      </c>
      <c r="AF19" s="204"/>
      <c r="AG19" s="207"/>
    </row>
    <row r="20" spans="21:33" ht="31.5" x14ac:dyDescent="0.25">
      <c r="U20" s="94" t="s">
        <v>53</v>
      </c>
      <c r="V20" s="204" t="s">
        <v>58</v>
      </c>
      <c r="W20" s="204" t="s">
        <v>66</v>
      </c>
      <c r="X20" s="204" t="s">
        <v>64</v>
      </c>
      <c r="Y20" s="207" t="s">
        <v>72</v>
      </c>
      <c r="AC20" s="208"/>
      <c r="AD20" s="204"/>
      <c r="AE20" s="204"/>
      <c r="AF20" s="204"/>
      <c r="AG20" s="207"/>
    </row>
    <row r="21" spans="21:33" ht="32.25" thickBot="1" x14ac:dyDescent="0.3">
      <c r="U21" s="215" t="s">
        <v>54</v>
      </c>
      <c r="V21" s="95" t="s">
        <v>59</v>
      </c>
      <c r="W21" s="95" t="s">
        <v>68</v>
      </c>
      <c r="X21" s="95" t="s">
        <v>65</v>
      </c>
      <c r="Y21" s="214" t="s">
        <v>73</v>
      </c>
      <c r="AC21" s="211"/>
      <c r="AD21" s="205"/>
      <c r="AE21" s="205"/>
      <c r="AF21" s="205"/>
      <c r="AG21" s="212"/>
    </row>
    <row r="22" spans="21:33" ht="30" customHeight="1" thickBot="1" x14ac:dyDescent="0.3">
      <c r="U22" s="54"/>
      <c r="V22" s="55"/>
      <c r="W22" s="55"/>
      <c r="X22" s="55"/>
      <c r="Y22" s="56"/>
      <c r="AC22" s="54"/>
      <c r="AD22" s="55"/>
      <c r="AE22" s="55"/>
      <c r="AF22" s="55"/>
      <c r="AG22" s="56"/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acro5">
                <anchor moveWithCells="1">
                  <from>
                    <xdr:col>21</xdr:col>
                    <xdr:colOff>323850</xdr:colOff>
                    <xdr:row>6</xdr:row>
                    <xdr:rowOff>85725</xdr:rowOff>
                  </from>
                  <to>
                    <xdr:col>22</xdr:col>
                    <xdr:colOff>466725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ABB2D-A04A-47DF-8D93-9DAC44AB5CFD}">
  <sheetPr codeName="Hoja8"/>
  <dimension ref="B1:O17"/>
  <sheetViews>
    <sheetView zoomScaleNormal="100" workbookViewId="0">
      <selection activeCell="O12" sqref="O12"/>
    </sheetView>
  </sheetViews>
  <sheetFormatPr baseColWidth="10" defaultRowHeight="15" x14ac:dyDescent="0.25"/>
  <cols>
    <col min="1" max="1" width="1.28515625" customWidth="1"/>
    <col min="2" max="6" width="10.7109375" customWidth="1"/>
    <col min="7" max="7" width="4.28515625" customWidth="1"/>
    <col min="8" max="12" width="10.7109375" customWidth="1"/>
    <col min="13" max="13" width="6.140625" customWidth="1"/>
  </cols>
  <sheetData>
    <row r="1" spans="2:15" x14ac:dyDescent="0.25">
      <c r="C1" s="188" t="s">
        <v>107</v>
      </c>
      <c r="D1" s="188"/>
      <c r="E1" s="188"/>
      <c r="F1" s="188"/>
      <c r="G1" s="188"/>
      <c r="H1" s="188"/>
      <c r="I1" s="188"/>
    </row>
    <row r="2" spans="2:15" ht="15.75" thickBot="1" x14ac:dyDescent="0.3">
      <c r="C2" s="188"/>
      <c r="D2" s="188"/>
      <c r="E2" s="188"/>
      <c r="F2" s="188"/>
      <c r="G2" s="188"/>
      <c r="H2" s="188"/>
      <c r="I2" s="188"/>
    </row>
    <row r="3" spans="2:15" ht="31.5" customHeight="1" thickBot="1" x14ac:dyDescent="0.3">
      <c r="B3" s="117" t="s">
        <v>0</v>
      </c>
      <c r="C3" s="118" t="s">
        <v>1</v>
      </c>
      <c r="D3" s="118" t="s">
        <v>2</v>
      </c>
      <c r="E3" s="118" t="s">
        <v>3</v>
      </c>
      <c r="F3" s="119" t="s">
        <v>4</v>
      </c>
      <c r="H3" s="117" t="s">
        <v>0</v>
      </c>
      <c r="I3" s="118" t="s">
        <v>1</v>
      </c>
      <c r="J3" s="118" t="s">
        <v>2</v>
      </c>
      <c r="K3" s="118" t="s">
        <v>3</v>
      </c>
      <c r="L3" s="119" t="s">
        <v>4</v>
      </c>
    </row>
    <row r="4" spans="2:15" ht="46.5" customHeight="1" x14ac:dyDescent="0.25">
      <c r="B4" s="63"/>
      <c r="C4" s="57"/>
      <c r="D4" s="57"/>
      <c r="E4" s="57"/>
      <c r="F4" s="64"/>
      <c r="H4" s="63"/>
      <c r="I4" s="57"/>
      <c r="J4" s="57"/>
      <c r="K4" s="57"/>
      <c r="L4" s="64"/>
    </row>
    <row r="5" spans="2:15" ht="46.5" customHeight="1" thickBot="1" x14ac:dyDescent="0.3">
      <c r="B5" s="11"/>
      <c r="C5" s="96"/>
      <c r="D5" s="109"/>
      <c r="E5" s="96"/>
      <c r="F5" s="12"/>
      <c r="H5" s="11"/>
      <c r="I5" s="96"/>
      <c r="J5" s="109"/>
      <c r="K5" s="96"/>
      <c r="L5" s="12"/>
    </row>
    <row r="6" spans="2:15" ht="46.5" customHeight="1" thickBot="1" x14ac:dyDescent="0.3">
      <c r="B6" s="11"/>
      <c r="C6" s="110"/>
      <c r="D6" s="116" t="s">
        <v>48</v>
      </c>
      <c r="E6" s="111"/>
      <c r="F6" s="12"/>
      <c r="H6" s="11"/>
      <c r="I6" s="110"/>
      <c r="J6" s="116" t="s">
        <v>48</v>
      </c>
      <c r="K6" s="111"/>
      <c r="L6" s="12"/>
      <c r="O6" s="120" t="s">
        <v>108</v>
      </c>
    </row>
    <row r="7" spans="2:15" ht="46.5" customHeight="1" x14ac:dyDescent="0.25">
      <c r="B7" s="11"/>
      <c r="C7" s="96"/>
      <c r="D7" s="112"/>
      <c r="E7" s="96"/>
      <c r="F7" s="12"/>
      <c r="H7" s="11"/>
      <c r="I7" s="96"/>
      <c r="J7" s="112"/>
      <c r="K7" s="96"/>
      <c r="L7" s="12"/>
    </row>
    <row r="8" spans="2:15" ht="46.5" customHeight="1" thickBot="1" x14ac:dyDescent="0.3">
      <c r="B8" s="65"/>
      <c r="C8" s="58"/>
      <c r="D8" s="58"/>
      <c r="E8" s="58"/>
      <c r="F8" s="66"/>
      <c r="H8" s="65"/>
      <c r="I8" s="58"/>
      <c r="J8" s="58"/>
      <c r="K8" s="58"/>
      <c r="L8" s="66"/>
    </row>
    <row r="9" spans="2:15" ht="31.5" customHeight="1" thickBot="1" x14ac:dyDescent="0.3">
      <c r="B9" s="113" t="s">
        <v>106</v>
      </c>
      <c r="C9" s="114"/>
      <c r="D9" s="114"/>
      <c r="E9" s="114" t="s">
        <v>110</v>
      </c>
      <c r="F9" s="115"/>
      <c r="H9" s="113" t="s">
        <v>106</v>
      </c>
      <c r="I9" s="114"/>
      <c r="J9" s="114"/>
      <c r="K9" s="114" t="s">
        <v>109</v>
      </c>
      <c r="L9" s="115"/>
    </row>
    <row r="10" spans="2:15" ht="15.75" thickBot="1" x14ac:dyDescent="0.3"/>
    <row r="11" spans="2:15" ht="31.5" customHeight="1" thickBot="1" x14ac:dyDescent="0.3">
      <c r="B11" s="117" t="s">
        <v>0</v>
      </c>
      <c r="C11" s="118" t="s">
        <v>1</v>
      </c>
      <c r="D11" s="118" t="s">
        <v>2</v>
      </c>
      <c r="E11" s="118" t="s">
        <v>3</v>
      </c>
      <c r="F11" s="119" t="s">
        <v>4</v>
      </c>
      <c r="H11" s="117" t="s">
        <v>0</v>
      </c>
      <c r="I11" s="118" t="s">
        <v>1</v>
      </c>
      <c r="J11" s="118" t="s">
        <v>2</v>
      </c>
      <c r="K11" s="118" t="s">
        <v>3</v>
      </c>
      <c r="L11" s="119" t="s">
        <v>4</v>
      </c>
    </row>
    <row r="12" spans="2:15" ht="46.5" customHeight="1" x14ac:dyDescent="0.25">
      <c r="B12" s="63"/>
      <c r="C12" s="57"/>
      <c r="D12" s="57"/>
      <c r="E12" s="57"/>
      <c r="F12" s="64"/>
      <c r="H12" s="63"/>
      <c r="I12" s="57"/>
      <c r="J12" s="57"/>
      <c r="K12" s="57"/>
      <c r="L12" s="64"/>
    </row>
    <row r="13" spans="2:15" ht="46.5" customHeight="1" thickBot="1" x14ac:dyDescent="0.3">
      <c r="B13" s="11"/>
      <c r="C13" s="96"/>
      <c r="D13" s="109"/>
      <c r="E13" s="96"/>
      <c r="F13" s="12"/>
      <c r="H13" s="11"/>
      <c r="I13" s="96"/>
      <c r="J13" s="109"/>
      <c r="K13" s="96"/>
      <c r="L13" s="12"/>
    </row>
    <row r="14" spans="2:15" ht="46.5" customHeight="1" thickBot="1" x14ac:dyDescent="0.3">
      <c r="B14" s="11"/>
      <c r="C14" s="110"/>
      <c r="D14" s="116" t="s">
        <v>48</v>
      </c>
      <c r="E14" s="111"/>
      <c r="F14" s="12"/>
      <c r="H14" s="11"/>
      <c r="I14" s="110"/>
      <c r="J14" s="116" t="s">
        <v>48</v>
      </c>
      <c r="K14" s="111"/>
      <c r="L14" s="12"/>
    </row>
    <row r="15" spans="2:15" ht="46.5" customHeight="1" x14ac:dyDescent="0.25">
      <c r="B15" s="11"/>
      <c r="C15" s="96"/>
      <c r="D15" s="112"/>
      <c r="E15" s="96"/>
      <c r="F15" s="12"/>
      <c r="H15" s="11"/>
      <c r="I15" s="96"/>
      <c r="J15" s="112"/>
      <c r="K15" s="96"/>
      <c r="L15" s="12"/>
    </row>
    <row r="16" spans="2:15" ht="46.5" customHeight="1" thickBot="1" x14ac:dyDescent="0.3">
      <c r="B16" s="65"/>
      <c r="C16" s="58"/>
      <c r="D16" s="58"/>
      <c r="E16" s="58"/>
      <c r="F16" s="66"/>
      <c r="H16" s="65"/>
      <c r="I16" s="58"/>
      <c r="J16" s="58"/>
      <c r="K16" s="58"/>
      <c r="L16" s="66"/>
    </row>
    <row r="17" spans="2:12" ht="31.5" customHeight="1" thickBot="1" x14ac:dyDescent="0.3">
      <c r="B17" s="113" t="s">
        <v>106</v>
      </c>
      <c r="C17" s="114"/>
      <c r="D17" s="114"/>
      <c r="E17" s="114" t="s">
        <v>109</v>
      </c>
      <c r="F17" s="115"/>
      <c r="H17" s="113" t="s">
        <v>106</v>
      </c>
      <c r="I17" s="114"/>
      <c r="J17" s="114"/>
      <c r="K17" s="114" t="s">
        <v>109</v>
      </c>
      <c r="L17" s="115"/>
    </row>
  </sheetData>
  <mergeCells count="1">
    <mergeCell ref="C1:I2"/>
  </mergeCells>
  <pageMargins left="0.7" right="0.7" top="0.75" bottom="0.75" header="0.3" footer="0.3"/>
  <pageSetup paperSize="9" scale="72"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79272-14EB-4558-BB76-62D7E469B54D}">
  <sheetPr codeName="Hoja4"/>
  <dimension ref="A1:BU59"/>
  <sheetViews>
    <sheetView topLeftCell="A29" workbookViewId="0">
      <selection activeCell="CH16" sqref="CH16"/>
    </sheetView>
  </sheetViews>
  <sheetFormatPr baseColWidth="10" defaultRowHeight="15" x14ac:dyDescent="0.25"/>
  <cols>
    <col min="2" max="2" width="13.5703125" bestFit="1" customWidth="1"/>
    <col min="5" max="76" width="3" bestFit="1" customWidth="1"/>
    <col min="77" max="77" width="2" bestFit="1" customWidth="1"/>
    <col min="78" max="81" width="3" bestFit="1" customWidth="1"/>
    <col min="82" max="82" width="2" bestFit="1" customWidth="1"/>
    <col min="83" max="93" width="3" bestFit="1" customWidth="1"/>
    <col min="94" max="94" width="2" bestFit="1" customWidth="1"/>
    <col min="95" max="117" width="3" bestFit="1" customWidth="1"/>
    <col min="118" max="118" width="2" bestFit="1" customWidth="1"/>
    <col min="119" max="125" width="3" bestFit="1" customWidth="1"/>
    <col min="126" max="126" width="2" bestFit="1" customWidth="1"/>
    <col min="127" max="131" width="3" bestFit="1" customWidth="1"/>
    <col min="132" max="132" width="2" bestFit="1" customWidth="1"/>
    <col min="133" max="138" width="3" bestFit="1" customWidth="1"/>
    <col min="139" max="139" width="2" bestFit="1" customWidth="1"/>
    <col min="140" max="142" width="3" bestFit="1" customWidth="1"/>
    <col min="143" max="144" width="2" bestFit="1" customWidth="1"/>
    <col min="145" max="147" width="3" bestFit="1" customWidth="1"/>
    <col min="148" max="148" width="2" bestFit="1" customWidth="1"/>
    <col min="149" max="149" width="3" bestFit="1" customWidth="1"/>
  </cols>
  <sheetData>
    <row r="1" spans="1:73" x14ac:dyDescent="0.25">
      <c r="A1" t="s">
        <v>13</v>
      </c>
      <c r="B1" t="s">
        <v>14</v>
      </c>
      <c r="C1" t="s">
        <v>5</v>
      </c>
      <c r="D1" t="s">
        <v>16</v>
      </c>
    </row>
    <row r="2" spans="1:73" x14ac:dyDescent="0.25">
      <c r="A2" s="4">
        <v>45695</v>
      </c>
      <c r="B2" t="s">
        <v>9</v>
      </c>
      <c r="C2">
        <v>168</v>
      </c>
      <c r="D2">
        <v>22</v>
      </c>
      <c r="E2">
        <v>40</v>
      </c>
      <c r="F2">
        <v>36</v>
      </c>
      <c r="G2">
        <v>16</v>
      </c>
      <c r="H2">
        <v>26</v>
      </c>
      <c r="I2">
        <v>4</v>
      </c>
      <c r="J2">
        <v>61</v>
      </c>
      <c r="K2">
        <v>59</v>
      </c>
      <c r="L2">
        <v>51</v>
      </c>
      <c r="M2">
        <v>48</v>
      </c>
      <c r="N2">
        <v>56</v>
      </c>
      <c r="O2">
        <v>20</v>
      </c>
      <c r="P2">
        <v>3</v>
      </c>
    </row>
    <row r="3" spans="1:73" x14ac:dyDescent="0.25">
      <c r="A3" s="4">
        <v>45703</v>
      </c>
      <c r="B3" t="s">
        <v>9</v>
      </c>
      <c r="C3">
        <v>169</v>
      </c>
      <c r="D3">
        <v>69</v>
      </c>
      <c r="E3">
        <v>65</v>
      </c>
      <c r="F3">
        <v>25</v>
      </c>
      <c r="G3">
        <v>44</v>
      </c>
      <c r="H3">
        <v>75</v>
      </c>
      <c r="I3">
        <v>73</v>
      </c>
      <c r="J3">
        <v>50</v>
      </c>
      <c r="K3">
        <v>62</v>
      </c>
      <c r="L3">
        <v>56</v>
      </c>
      <c r="M3">
        <v>12</v>
      </c>
      <c r="N3">
        <v>70</v>
      </c>
      <c r="O3">
        <v>32</v>
      </c>
      <c r="P3">
        <v>1</v>
      </c>
      <c r="Q3">
        <v>28</v>
      </c>
      <c r="R3">
        <v>33</v>
      </c>
      <c r="S3">
        <v>59</v>
      </c>
      <c r="T3">
        <v>14</v>
      </c>
      <c r="U3">
        <v>55</v>
      </c>
      <c r="V3">
        <v>10</v>
      </c>
      <c r="W3">
        <v>51</v>
      </c>
      <c r="X3">
        <v>43</v>
      </c>
      <c r="Y3">
        <v>11</v>
      </c>
      <c r="Z3">
        <v>15</v>
      </c>
      <c r="AA3">
        <v>18</v>
      </c>
      <c r="AB3">
        <v>19</v>
      </c>
      <c r="AC3">
        <v>3</v>
      </c>
      <c r="AD3">
        <v>47</v>
      </c>
      <c r="AE3">
        <v>13</v>
      </c>
      <c r="AF3">
        <v>68</v>
      </c>
      <c r="AG3">
        <v>74</v>
      </c>
      <c r="AH3">
        <v>67</v>
      </c>
      <c r="AI3">
        <v>17</v>
      </c>
      <c r="AJ3">
        <v>6</v>
      </c>
      <c r="AK3">
        <v>39</v>
      </c>
      <c r="AL3">
        <v>9</v>
      </c>
      <c r="AM3">
        <v>4</v>
      </c>
      <c r="AN3">
        <v>71</v>
      </c>
      <c r="AO3">
        <v>35</v>
      </c>
      <c r="AP3">
        <v>26</v>
      </c>
      <c r="AQ3">
        <v>60</v>
      </c>
      <c r="AR3">
        <v>24</v>
      </c>
      <c r="AS3">
        <v>48</v>
      </c>
      <c r="AT3">
        <v>5</v>
      </c>
      <c r="AU3">
        <v>29</v>
      </c>
      <c r="AV3">
        <v>58</v>
      </c>
    </row>
    <row r="4" spans="1:73" x14ac:dyDescent="0.25">
      <c r="A4" s="4">
        <v>45703</v>
      </c>
      <c r="B4" t="s">
        <v>41</v>
      </c>
      <c r="C4">
        <v>170</v>
      </c>
      <c r="D4">
        <v>44</v>
      </c>
      <c r="E4">
        <v>39</v>
      </c>
      <c r="F4">
        <v>59</v>
      </c>
      <c r="G4">
        <v>50</v>
      </c>
      <c r="H4">
        <v>2</v>
      </c>
      <c r="I4">
        <v>61</v>
      </c>
      <c r="J4">
        <v>60</v>
      </c>
      <c r="K4">
        <v>41</v>
      </c>
      <c r="L4">
        <v>16</v>
      </c>
      <c r="M4">
        <v>29</v>
      </c>
      <c r="N4">
        <v>20</v>
      </c>
      <c r="O4">
        <v>72</v>
      </c>
      <c r="P4">
        <v>54</v>
      </c>
      <c r="Q4">
        <v>1</v>
      </c>
      <c r="R4">
        <v>46</v>
      </c>
      <c r="S4">
        <v>23</v>
      </c>
      <c r="T4">
        <v>38</v>
      </c>
      <c r="U4">
        <v>8</v>
      </c>
      <c r="V4">
        <v>71</v>
      </c>
      <c r="W4">
        <v>7</v>
      </c>
      <c r="X4">
        <v>62</v>
      </c>
      <c r="Y4">
        <v>57</v>
      </c>
      <c r="Z4">
        <v>4</v>
      </c>
      <c r="AA4">
        <v>12</v>
      </c>
      <c r="AB4">
        <v>28</v>
      </c>
      <c r="AC4">
        <v>19</v>
      </c>
      <c r="AD4">
        <v>36</v>
      </c>
      <c r="AE4">
        <v>48</v>
      </c>
      <c r="AF4">
        <v>43</v>
      </c>
      <c r="AG4">
        <v>34</v>
      </c>
      <c r="AH4">
        <v>65</v>
      </c>
      <c r="AI4">
        <v>14</v>
      </c>
      <c r="AJ4">
        <v>75</v>
      </c>
      <c r="AK4">
        <v>18</v>
      </c>
      <c r="AL4">
        <v>52</v>
      </c>
      <c r="AM4">
        <v>37</v>
      </c>
      <c r="AN4">
        <v>5</v>
      </c>
      <c r="AO4">
        <v>35</v>
      </c>
      <c r="AP4">
        <v>67</v>
      </c>
      <c r="AQ4">
        <v>73</v>
      </c>
      <c r="AR4">
        <v>53</v>
      </c>
      <c r="AS4">
        <v>3</v>
      </c>
      <c r="AT4">
        <v>47</v>
      </c>
      <c r="AU4">
        <v>26</v>
      </c>
      <c r="AV4">
        <v>40</v>
      </c>
      <c r="AW4">
        <v>27</v>
      </c>
      <c r="AX4">
        <v>9</v>
      </c>
      <c r="AY4">
        <v>69</v>
      </c>
      <c r="AZ4">
        <v>56</v>
      </c>
      <c r="BA4">
        <v>42</v>
      </c>
      <c r="BB4">
        <v>25</v>
      </c>
      <c r="BC4">
        <v>30</v>
      </c>
      <c r="BD4">
        <v>58</v>
      </c>
      <c r="BE4">
        <v>13</v>
      </c>
      <c r="BF4">
        <v>55</v>
      </c>
      <c r="BG4">
        <v>15</v>
      </c>
      <c r="BH4">
        <v>66</v>
      </c>
    </row>
    <row r="5" spans="1:73" x14ac:dyDescent="0.25">
      <c r="A5" s="4">
        <v>45703</v>
      </c>
      <c r="B5" t="s">
        <v>9</v>
      </c>
      <c r="C5">
        <v>171</v>
      </c>
      <c r="D5">
        <v>2</v>
      </c>
      <c r="E5">
        <v>64</v>
      </c>
      <c r="F5">
        <v>42</v>
      </c>
      <c r="G5">
        <v>18</v>
      </c>
      <c r="H5">
        <v>24</v>
      </c>
      <c r="I5">
        <v>27</v>
      </c>
      <c r="J5">
        <v>15</v>
      </c>
      <c r="K5">
        <v>60</v>
      </c>
      <c r="L5">
        <v>20</v>
      </c>
      <c r="M5">
        <v>13</v>
      </c>
      <c r="N5">
        <v>47</v>
      </c>
      <c r="O5">
        <v>58</v>
      </c>
      <c r="P5">
        <v>57</v>
      </c>
      <c r="Q5">
        <v>6</v>
      </c>
      <c r="R5">
        <v>25</v>
      </c>
      <c r="S5">
        <v>11</v>
      </c>
      <c r="T5">
        <v>32</v>
      </c>
      <c r="U5">
        <v>52</v>
      </c>
      <c r="V5">
        <v>9</v>
      </c>
      <c r="W5">
        <v>44</v>
      </c>
      <c r="X5">
        <v>46</v>
      </c>
      <c r="Y5">
        <v>51</v>
      </c>
      <c r="Z5">
        <v>36</v>
      </c>
      <c r="AA5">
        <v>74</v>
      </c>
      <c r="AB5">
        <v>7</v>
      </c>
      <c r="AC5">
        <v>3</v>
      </c>
      <c r="AD5">
        <v>28</v>
      </c>
      <c r="AE5">
        <v>23</v>
      </c>
      <c r="AF5">
        <v>49</v>
      </c>
      <c r="AG5">
        <v>43</v>
      </c>
      <c r="AH5">
        <v>55</v>
      </c>
      <c r="AI5">
        <v>39</v>
      </c>
      <c r="AJ5">
        <v>37</v>
      </c>
      <c r="AK5">
        <v>33</v>
      </c>
      <c r="AL5">
        <v>10</v>
      </c>
      <c r="AM5">
        <v>16</v>
      </c>
      <c r="AN5">
        <v>50</v>
      </c>
      <c r="AO5">
        <v>67</v>
      </c>
      <c r="AP5">
        <v>63</v>
      </c>
      <c r="AQ5">
        <v>31</v>
      </c>
      <c r="AR5">
        <v>68</v>
      </c>
      <c r="AS5">
        <v>62</v>
      </c>
      <c r="AT5">
        <v>54</v>
      </c>
      <c r="AU5">
        <v>69</v>
      </c>
      <c r="AV5">
        <v>30</v>
      </c>
      <c r="AW5">
        <v>70</v>
      </c>
      <c r="AX5">
        <v>1</v>
      </c>
      <c r="AY5">
        <v>59</v>
      </c>
      <c r="AZ5">
        <v>45</v>
      </c>
      <c r="BA5">
        <v>48</v>
      </c>
      <c r="BB5">
        <v>41</v>
      </c>
      <c r="BC5">
        <v>35</v>
      </c>
      <c r="BD5">
        <v>40</v>
      </c>
      <c r="BE5">
        <v>8</v>
      </c>
      <c r="BF5">
        <v>66</v>
      </c>
      <c r="BG5">
        <v>38</v>
      </c>
      <c r="BH5">
        <v>19</v>
      </c>
      <c r="BI5">
        <v>22</v>
      </c>
      <c r="BJ5">
        <v>71</v>
      </c>
      <c r="BK5">
        <v>56</v>
      </c>
      <c r="BL5">
        <v>26</v>
      </c>
      <c r="BM5">
        <v>75</v>
      </c>
      <c r="BN5">
        <v>72</v>
      </c>
      <c r="BO5">
        <v>73</v>
      </c>
      <c r="BP5">
        <v>29</v>
      </c>
      <c r="BQ5">
        <v>12</v>
      </c>
      <c r="BR5">
        <v>17</v>
      </c>
      <c r="BS5">
        <v>65</v>
      </c>
      <c r="BT5">
        <v>53</v>
      </c>
      <c r="BU5">
        <v>61</v>
      </c>
    </row>
    <row r="6" spans="1:73" x14ac:dyDescent="0.25">
      <c r="A6" s="4">
        <v>45703</v>
      </c>
      <c r="B6" t="s">
        <v>7</v>
      </c>
      <c r="C6">
        <v>172</v>
      </c>
      <c r="D6">
        <v>67</v>
      </c>
      <c r="E6">
        <v>33</v>
      </c>
      <c r="F6">
        <v>7</v>
      </c>
      <c r="G6">
        <v>34</v>
      </c>
      <c r="H6">
        <v>64</v>
      </c>
      <c r="I6">
        <v>61</v>
      </c>
      <c r="J6">
        <v>46</v>
      </c>
      <c r="K6">
        <v>2</v>
      </c>
      <c r="L6">
        <v>55</v>
      </c>
      <c r="M6">
        <v>51</v>
      </c>
      <c r="N6">
        <v>17</v>
      </c>
      <c r="O6">
        <v>65</v>
      </c>
      <c r="P6">
        <v>49</v>
      </c>
      <c r="Q6">
        <v>52</v>
      </c>
      <c r="R6">
        <v>6</v>
      </c>
      <c r="S6">
        <v>50</v>
      </c>
      <c r="T6">
        <v>63</v>
      </c>
      <c r="U6">
        <v>18</v>
      </c>
      <c r="V6">
        <v>60</v>
      </c>
      <c r="W6">
        <v>15</v>
      </c>
      <c r="X6">
        <v>35</v>
      </c>
    </row>
    <row r="7" spans="1:73" x14ac:dyDescent="0.25">
      <c r="A7" s="4">
        <v>45703</v>
      </c>
      <c r="B7" t="s">
        <v>30</v>
      </c>
      <c r="C7">
        <v>173</v>
      </c>
      <c r="D7">
        <v>37</v>
      </c>
      <c r="E7">
        <v>26</v>
      </c>
      <c r="F7">
        <v>33</v>
      </c>
      <c r="G7">
        <v>25</v>
      </c>
      <c r="H7">
        <v>30</v>
      </c>
      <c r="I7">
        <v>66</v>
      </c>
      <c r="J7">
        <v>60</v>
      </c>
      <c r="K7">
        <v>64</v>
      </c>
      <c r="L7">
        <v>12</v>
      </c>
      <c r="M7">
        <v>39</v>
      </c>
      <c r="N7">
        <v>2</v>
      </c>
      <c r="O7">
        <v>36</v>
      </c>
      <c r="P7">
        <v>16</v>
      </c>
      <c r="Q7">
        <v>72</v>
      </c>
      <c r="R7">
        <v>56</v>
      </c>
      <c r="S7">
        <v>9</v>
      </c>
      <c r="T7">
        <v>47</v>
      </c>
      <c r="U7">
        <v>57</v>
      </c>
      <c r="V7">
        <v>40</v>
      </c>
      <c r="W7">
        <v>13</v>
      </c>
      <c r="X7">
        <v>22</v>
      </c>
      <c r="Y7">
        <v>43</v>
      </c>
      <c r="Z7">
        <v>51</v>
      </c>
      <c r="AA7">
        <v>14</v>
      </c>
      <c r="AB7">
        <v>6</v>
      </c>
      <c r="AC7">
        <v>38</v>
      </c>
      <c r="AD7">
        <v>68</v>
      </c>
      <c r="AE7">
        <v>50</v>
      </c>
      <c r="AF7">
        <v>42</v>
      </c>
      <c r="AG7">
        <v>7</v>
      </c>
      <c r="AH7">
        <v>10</v>
      </c>
      <c r="AI7">
        <v>63</v>
      </c>
      <c r="AJ7">
        <v>3</v>
      </c>
      <c r="AK7">
        <v>44</v>
      </c>
      <c r="AL7">
        <v>75</v>
      </c>
      <c r="AM7">
        <v>21</v>
      </c>
      <c r="AN7">
        <v>34</v>
      </c>
      <c r="AO7">
        <v>20</v>
      </c>
    </row>
    <row r="8" spans="1:73" x14ac:dyDescent="0.25">
      <c r="A8" s="4">
        <v>45703</v>
      </c>
      <c r="B8" t="s">
        <v>41</v>
      </c>
      <c r="C8">
        <v>174</v>
      </c>
      <c r="D8">
        <v>45</v>
      </c>
      <c r="E8">
        <v>25</v>
      </c>
      <c r="F8">
        <v>57</v>
      </c>
      <c r="G8">
        <v>61</v>
      </c>
      <c r="H8">
        <v>50</v>
      </c>
      <c r="I8">
        <v>38</v>
      </c>
      <c r="J8">
        <v>47</v>
      </c>
      <c r="K8">
        <v>3</v>
      </c>
      <c r="L8">
        <v>63</v>
      </c>
      <c r="M8">
        <v>71</v>
      </c>
      <c r="N8">
        <v>68</v>
      </c>
      <c r="O8">
        <v>53</v>
      </c>
      <c r="P8">
        <v>36</v>
      </c>
      <c r="Q8">
        <v>10</v>
      </c>
      <c r="R8">
        <v>75</v>
      </c>
      <c r="S8">
        <v>74</v>
      </c>
      <c r="T8">
        <v>56</v>
      </c>
      <c r="U8">
        <v>1</v>
      </c>
      <c r="V8">
        <v>44</v>
      </c>
      <c r="W8">
        <v>66</v>
      </c>
      <c r="X8">
        <v>48</v>
      </c>
      <c r="Y8">
        <v>39</v>
      </c>
      <c r="Z8">
        <v>33</v>
      </c>
      <c r="AA8">
        <v>32</v>
      </c>
      <c r="AB8">
        <v>29</v>
      </c>
      <c r="AC8">
        <v>19</v>
      </c>
      <c r="AD8">
        <v>6</v>
      </c>
      <c r="AE8">
        <v>12</v>
      </c>
      <c r="AF8">
        <v>5</v>
      </c>
      <c r="AG8">
        <v>40</v>
      </c>
      <c r="AH8">
        <v>22</v>
      </c>
      <c r="AI8">
        <v>34</v>
      </c>
      <c r="AJ8">
        <v>13</v>
      </c>
      <c r="AK8">
        <v>20</v>
      </c>
      <c r="AL8">
        <v>52</v>
      </c>
      <c r="AM8">
        <v>70</v>
      </c>
      <c r="AN8">
        <v>2</v>
      </c>
      <c r="AO8">
        <v>41</v>
      </c>
      <c r="AP8">
        <v>21</v>
      </c>
      <c r="AQ8">
        <v>18</v>
      </c>
      <c r="AR8">
        <v>64</v>
      </c>
      <c r="AS8">
        <v>23</v>
      </c>
      <c r="AT8">
        <v>59</v>
      </c>
      <c r="AU8">
        <v>8</v>
      </c>
      <c r="AV8">
        <v>11</v>
      </c>
      <c r="AW8">
        <v>31</v>
      </c>
      <c r="AX8">
        <v>73</v>
      </c>
      <c r="AY8">
        <v>37</v>
      </c>
      <c r="AZ8">
        <v>30</v>
      </c>
      <c r="BA8">
        <v>65</v>
      </c>
      <c r="BB8">
        <v>51</v>
      </c>
      <c r="BC8">
        <v>43</v>
      </c>
      <c r="BD8">
        <v>15</v>
      </c>
      <c r="BE8">
        <v>69</v>
      </c>
      <c r="BF8">
        <v>55</v>
      </c>
      <c r="BG8">
        <v>7</v>
      </c>
      <c r="BH8">
        <v>72</v>
      </c>
      <c r="BI8">
        <v>42</v>
      </c>
    </row>
    <row r="9" spans="1:73" x14ac:dyDescent="0.25">
      <c r="A9" s="4">
        <v>45703</v>
      </c>
      <c r="B9" t="s">
        <v>9</v>
      </c>
      <c r="C9">
        <v>175</v>
      </c>
      <c r="D9">
        <v>73</v>
      </c>
      <c r="E9">
        <v>4</v>
      </c>
      <c r="F9">
        <v>75</v>
      </c>
      <c r="G9">
        <v>53</v>
      </c>
      <c r="H9">
        <v>43</v>
      </c>
      <c r="I9">
        <v>32</v>
      </c>
      <c r="J9">
        <v>71</v>
      </c>
      <c r="K9">
        <v>25</v>
      </c>
      <c r="L9">
        <v>24</v>
      </c>
      <c r="M9">
        <v>74</v>
      </c>
      <c r="N9">
        <v>41</v>
      </c>
      <c r="O9">
        <v>59</v>
      </c>
      <c r="P9">
        <v>49</v>
      </c>
      <c r="Q9">
        <v>28</v>
      </c>
      <c r="R9">
        <v>36</v>
      </c>
      <c r="S9">
        <v>64</v>
      </c>
      <c r="T9">
        <v>63</v>
      </c>
      <c r="U9">
        <v>57</v>
      </c>
      <c r="V9">
        <v>2</v>
      </c>
      <c r="W9">
        <v>54</v>
      </c>
      <c r="X9">
        <v>29</v>
      </c>
      <c r="Y9">
        <v>35</v>
      </c>
      <c r="Z9">
        <v>19</v>
      </c>
      <c r="AA9">
        <v>66</v>
      </c>
      <c r="AB9">
        <v>7</v>
      </c>
      <c r="AC9">
        <v>9</v>
      </c>
      <c r="AD9">
        <v>30</v>
      </c>
      <c r="AE9">
        <v>22</v>
      </c>
      <c r="AF9">
        <v>38</v>
      </c>
      <c r="AG9">
        <v>70</v>
      </c>
      <c r="AH9">
        <v>33</v>
      </c>
      <c r="AI9">
        <v>52</v>
      </c>
      <c r="AJ9">
        <v>34</v>
      </c>
      <c r="AK9">
        <v>58</v>
      </c>
      <c r="AL9">
        <v>3</v>
      </c>
      <c r="AM9">
        <v>14</v>
      </c>
      <c r="AN9">
        <v>47</v>
      </c>
      <c r="AO9">
        <v>10</v>
      </c>
      <c r="AP9">
        <v>42</v>
      </c>
      <c r="AQ9">
        <v>56</v>
      </c>
      <c r="AR9">
        <v>18</v>
      </c>
      <c r="AS9">
        <v>15</v>
      </c>
      <c r="AT9">
        <v>17</v>
      </c>
      <c r="AU9">
        <v>16</v>
      </c>
      <c r="AV9">
        <v>31</v>
      </c>
      <c r="AW9">
        <v>44</v>
      </c>
      <c r="AX9">
        <v>46</v>
      </c>
      <c r="AY9">
        <v>8</v>
      </c>
      <c r="AZ9">
        <v>12</v>
      </c>
      <c r="BA9">
        <v>1</v>
      </c>
      <c r="BB9">
        <v>67</v>
      </c>
      <c r="BC9">
        <v>6</v>
      </c>
      <c r="BD9">
        <v>68</v>
      </c>
      <c r="BE9">
        <v>62</v>
      </c>
      <c r="BF9">
        <v>5</v>
      </c>
      <c r="BG9">
        <v>72</v>
      </c>
      <c r="BH9">
        <v>26</v>
      </c>
      <c r="BI9">
        <v>11</v>
      </c>
      <c r="BJ9">
        <v>27</v>
      </c>
      <c r="BK9">
        <v>37</v>
      </c>
      <c r="BL9">
        <v>50</v>
      </c>
      <c r="BM9">
        <v>51</v>
      </c>
      <c r="BN9">
        <v>20</v>
      </c>
      <c r="BO9">
        <v>69</v>
      </c>
      <c r="BP9">
        <v>65</v>
      </c>
      <c r="BQ9">
        <v>39</v>
      </c>
      <c r="BR9">
        <v>40</v>
      </c>
      <c r="BS9">
        <v>21</v>
      </c>
    </row>
    <row r="10" spans="1:73" x14ac:dyDescent="0.25">
      <c r="A10" s="4">
        <v>45710</v>
      </c>
      <c r="B10" t="s">
        <v>7</v>
      </c>
      <c r="C10">
        <v>176</v>
      </c>
    </row>
    <row r="11" spans="1:73" x14ac:dyDescent="0.25">
      <c r="A11" s="4">
        <v>45710</v>
      </c>
      <c r="B11" t="s">
        <v>7</v>
      </c>
      <c r="C11">
        <v>177</v>
      </c>
    </row>
    <row r="12" spans="1:73" x14ac:dyDescent="0.25">
      <c r="A12" s="4">
        <v>45710</v>
      </c>
      <c r="B12" t="s">
        <v>7</v>
      </c>
      <c r="C12">
        <v>178</v>
      </c>
    </row>
    <row r="13" spans="1:73" x14ac:dyDescent="0.25">
      <c r="A13" s="4">
        <v>45710</v>
      </c>
      <c r="B13" t="s">
        <v>7</v>
      </c>
      <c r="C13">
        <v>179</v>
      </c>
      <c r="D13">
        <v>23</v>
      </c>
      <c r="E13">
        <v>15</v>
      </c>
      <c r="F13">
        <v>36</v>
      </c>
      <c r="G13">
        <v>59</v>
      </c>
      <c r="H13">
        <v>60</v>
      </c>
      <c r="I13">
        <v>55</v>
      </c>
      <c r="J13">
        <v>29</v>
      </c>
      <c r="K13">
        <v>34</v>
      </c>
      <c r="L13">
        <v>67</v>
      </c>
      <c r="M13">
        <v>64</v>
      </c>
      <c r="N13">
        <v>56</v>
      </c>
      <c r="O13">
        <v>35</v>
      </c>
      <c r="P13">
        <v>20</v>
      </c>
      <c r="Q13">
        <v>74</v>
      </c>
      <c r="R13">
        <v>5</v>
      </c>
      <c r="S13">
        <v>63</v>
      </c>
      <c r="T13">
        <v>37</v>
      </c>
      <c r="U13">
        <v>1</v>
      </c>
      <c r="V13">
        <v>54</v>
      </c>
      <c r="W13">
        <v>17</v>
      </c>
      <c r="X13">
        <v>10</v>
      </c>
      <c r="Y13">
        <v>66</v>
      </c>
      <c r="Z13">
        <v>24</v>
      </c>
      <c r="AA13">
        <v>32</v>
      </c>
      <c r="AB13">
        <v>4</v>
      </c>
      <c r="AC13">
        <v>2</v>
      </c>
      <c r="AD13">
        <v>71</v>
      </c>
    </row>
    <row r="14" spans="1:73" x14ac:dyDescent="0.25">
      <c r="A14" s="4">
        <v>45710</v>
      </c>
      <c r="B14" t="s">
        <v>7</v>
      </c>
      <c r="C14">
        <v>180</v>
      </c>
      <c r="D14">
        <v>61</v>
      </c>
      <c r="E14">
        <v>11</v>
      </c>
      <c r="F14">
        <v>8</v>
      </c>
      <c r="G14">
        <v>18</v>
      </c>
      <c r="H14">
        <v>31</v>
      </c>
      <c r="I14">
        <v>20</v>
      </c>
      <c r="J14">
        <v>13</v>
      </c>
      <c r="K14">
        <v>69</v>
      </c>
      <c r="L14">
        <v>41</v>
      </c>
      <c r="M14">
        <v>75</v>
      </c>
      <c r="N14">
        <v>5</v>
      </c>
      <c r="O14">
        <v>27</v>
      </c>
      <c r="P14">
        <v>57</v>
      </c>
      <c r="Q14">
        <v>70</v>
      </c>
      <c r="R14">
        <v>4</v>
      </c>
      <c r="S14">
        <v>72</v>
      </c>
      <c r="T14">
        <v>2</v>
      </c>
      <c r="U14">
        <v>19</v>
      </c>
      <c r="V14">
        <v>39</v>
      </c>
      <c r="W14">
        <v>73</v>
      </c>
      <c r="X14">
        <v>6</v>
      </c>
      <c r="Y14">
        <v>49</v>
      </c>
      <c r="Z14">
        <v>59</v>
      </c>
      <c r="AA14">
        <v>22</v>
      </c>
      <c r="AB14">
        <v>17</v>
      </c>
      <c r="AC14">
        <v>12</v>
      </c>
      <c r="AD14">
        <v>45</v>
      </c>
      <c r="AE14">
        <v>67</v>
      </c>
      <c r="AF14">
        <v>65</v>
      </c>
      <c r="AG14">
        <v>44</v>
      </c>
      <c r="AH14">
        <v>42</v>
      </c>
      <c r="AI14">
        <v>25</v>
      </c>
      <c r="AJ14">
        <v>29</v>
      </c>
      <c r="AK14">
        <v>47</v>
      </c>
      <c r="AL14">
        <v>32</v>
      </c>
      <c r="AM14">
        <v>64</v>
      </c>
      <c r="AN14">
        <v>52</v>
      </c>
      <c r="AO14">
        <v>46</v>
      </c>
      <c r="AP14">
        <v>62</v>
      </c>
      <c r="AQ14">
        <v>43</v>
      </c>
      <c r="AR14">
        <v>68</v>
      </c>
      <c r="AS14">
        <v>35</v>
      </c>
      <c r="AT14">
        <v>58</v>
      </c>
      <c r="AU14">
        <v>40</v>
      </c>
      <c r="AV14">
        <v>23</v>
      </c>
      <c r="AW14">
        <v>21</v>
      </c>
      <c r="AX14">
        <v>14</v>
      </c>
      <c r="AY14">
        <v>16</v>
      </c>
      <c r="AZ14">
        <v>1</v>
      </c>
      <c r="BA14">
        <v>38</v>
      </c>
      <c r="BB14">
        <v>7</v>
      </c>
      <c r="BC14">
        <v>36</v>
      </c>
      <c r="BD14">
        <v>15</v>
      </c>
      <c r="BE14">
        <v>24</v>
      </c>
      <c r="BF14">
        <v>53</v>
      </c>
      <c r="BG14">
        <v>66</v>
      </c>
      <c r="BH14">
        <v>51</v>
      </c>
      <c r="BI14">
        <v>60</v>
      </c>
      <c r="BJ14">
        <v>10</v>
      </c>
    </row>
    <row r="15" spans="1:73" x14ac:dyDescent="0.25">
      <c r="A15" s="4">
        <v>45710</v>
      </c>
      <c r="B15" t="s">
        <v>41</v>
      </c>
      <c r="C15">
        <v>181</v>
      </c>
      <c r="D15">
        <v>11</v>
      </c>
      <c r="E15">
        <v>32</v>
      </c>
      <c r="F15">
        <v>60</v>
      </c>
      <c r="G15">
        <v>65</v>
      </c>
      <c r="H15">
        <v>1</v>
      </c>
      <c r="I15">
        <v>56</v>
      </c>
      <c r="J15">
        <v>49</v>
      </c>
      <c r="K15">
        <v>42</v>
      </c>
      <c r="L15">
        <v>17</v>
      </c>
      <c r="M15">
        <v>13</v>
      </c>
      <c r="N15">
        <v>30</v>
      </c>
      <c r="O15">
        <v>15</v>
      </c>
      <c r="P15">
        <v>12</v>
      </c>
      <c r="Q15">
        <v>55</v>
      </c>
      <c r="R15">
        <v>10</v>
      </c>
      <c r="S15">
        <v>21</v>
      </c>
      <c r="T15">
        <v>58</v>
      </c>
      <c r="U15">
        <v>22</v>
      </c>
      <c r="V15">
        <v>33</v>
      </c>
      <c r="W15">
        <v>53</v>
      </c>
      <c r="X15">
        <v>29</v>
      </c>
      <c r="Y15">
        <v>37</v>
      </c>
      <c r="Z15">
        <v>48</v>
      </c>
      <c r="AA15">
        <v>75</v>
      </c>
      <c r="AB15">
        <v>16</v>
      </c>
      <c r="AC15">
        <v>3</v>
      </c>
      <c r="AD15">
        <v>68</v>
      </c>
      <c r="AE15">
        <v>26</v>
      </c>
      <c r="AF15">
        <v>28</v>
      </c>
      <c r="AG15">
        <v>50</v>
      </c>
      <c r="AH15">
        <v>52</v>
      </c>
      <c r="AI15">
        <v>40</v>
      </c>
      <c r="AJ15">
        <v>8</v>
      </c>
      <c r="AK15">
        <v>41</v>
      </c>
      <c r="AL15">
        <v>6</v>
      </c>
      <c r="AM15">
        <v>24</v>
      </c>
      <c r="AN15">
        <v>46</v>
      </c>
      <c r="AO15">
        <v>61</v>
      </c>
      <c r="AP15">
        <v>5</v>
      </c>
      <c r="AQ15">
        <v>62</v>
      </c>
      <c r="AR15">
        <v>4</v>
      </c>
      <c r="AS15">
        <v>39</v>
      </c>
    </row>
    <row r="16" spans="1:73" x14ac:dyDescent="0.25">
      <c r="A16" s="4">
        <v>45710</v>
      </c>
      <c r="B16" t="s">
        <v>30</v>
      </c>
      <c r="C16">
        <v>182</v>
      </c>
      <c r="D16">
        <v>18</v>
      </c>
      <c r="E16">
        <v>33</v>
      </c>
      <c r="F16">
        <v>57</v>
      </c>
      <c r="G16">
        <v>16</v>
      </c>
      <c r="H16">
        <v>8</v>
      </c>
      <c r="I16">
        <v>19</v>
      </c>
      <c r="J16">
        <v>12</v>
      </c>
      <c r="K16">
        <v>46</v>
      </c>
      <c r="L16">
        <v>42</v>
      </c>
      <c r="M16">
        <v>9</v>
      </c>
      <c r="N16">
        <v>3</v>
      </c>
      <c r="O16">
        <v>59</v>
      </c>
      <c r="P16">
        <v>25</v>
      </c>
      <c r="Q16">
        <v>30</v>
      </c>
      <c r="R16">
        <v>70</v>
      </c>
      <c r="S16">
        <v>48</v>
      </c>
      <c r="T16">
        <v>6</v>
      </c>
      <c r="U16">
        <v>60</v>
      </c>
      <c r="V16">
        <v>41</v>
      </c>
      <c r="W16">
        <v>40</v>
      </c>
      <c r="X16">
        <v>1</v>
      </c>
      <c r="Y16">
        <v>22</v>
      </c>
      <c r="Z16">
        <v>29</v>
      </c>
      <c r="AA16">
        <v>17</v>
      </c>
      <c r="AB16">
        <v>45</v>
      </c>
      <c r="AC16">
        <v>36</v>
      </c>
      <c r="AD16">
        <v>27</v>
      </c>
      <c r="AE16">
        <v>65</v>
      </c>
      <c r="AF16">
        <v>37</v>
      </c>
      <c r="AG16">
        <v>73</v>
      </c>
      <c r="AH16">
        <v>23</v>
      </c>
      <c r="AI16">
        <v>5</v>
      </c>
      <c r="AJ16">
        <v>68</v>
      </c>
      <c r="AK16">
        <v>43</v>
      </c>
      <c r="AL16">
        <v>71</v>
      </c>
      <c r="AM16">
        <v>26</v>
      </c>
      <c r="AN16">
        <v>50</v>
      </c>
      <c r="AO16">
        <v>10</v>
      </c>
      <c r="AP16">
        <v>7</v>
      </c>
      <c r="AQ16">
        <v>11</v>
      </c>
      <c r="AR16">
        <v>35</v>
      </c>
      <c r="AS16">
        <v>4</v>
      </c>
      <c r="AT16">
        <v>52</v>
      </c>
      <c r="AU16">
        <v>49</v>
      </c>
      <c r="AV16">
        <v>24</v>
      </c>
      <c r="AW16">
        <v>20</v>
      </c>
      <c r="AX16">
        <v>14</v>
      </c>
      <c r="AY16">
        <v>51</v>
      </c>
      <c r="AZ16">
        <v>13</v>
      </c>
      <c r="BA16">
        <v>63</v>
      </c>
      <c r="BB16">
        <v>21</v>
      </c>
      <c r="BC16">
        <v>2</v>
      </c>
      <c r="BD16">
        <v>31</v>
      </c>
      <c r="BE16">
        <v>39</v>
      </c>
      <c r="BF16">
        <v>75</v>
      </c>
      <c r="BG16">
        <v>61</v>
      </c>
      <c r="BH16">
        <v>64</v>
      </c>
    </row>
    <row r="17" spans="1:71" x14ac:dyDescent="0.25">
      <c r="A17" s="4">
        <v>45710</v>
      </c>
      <c r="B17" t="s">
        <v>9</v>
      </c>
      <c r="C17">
        <v>183</v>
      </c>
      <c r="D17">
        <v>38</v>
      </c>
      <c r="E17">
        <v>46</v>
      </c>
      <c r="F17">
        <v>31</v>
      </c>
      <c r="G17">
        <v>22</v>
      </c>
      <c r="H17">
        <v>5</v>
      </c>
      <c r="I17">
        <v>20</v>
      </c>
      <c r="J17">
        <v>26</v>
      </c>
      <c r="K17">
        <v>17</v>
      </c>
      <c r="L17">
        <v>35</v>
      </c>
      <c r="M17">
        <v>28</v>
      </c>
      <c r="N17">
        <v>53</v>
      </c>
      <c r="O17">
        <v>48</v>
      </c>
      <c r="P17">
        <v>33</v>
      </c>
      <c r="Q17">
        <v>71</v>
      </c>
      <c r="R17">
        <v>39</v>
      </c>
      <c r="S17">
        <v>56</v>
      </c>
      <c r="T17">
        <v>13</v>
      </c>
    </row>
    <row r="18" spans="1:71" x14ac:dyDescent="0.25">
      <c r="A18" s="4">
        <v>45717</v>
      </c>
      <c r="B18" t="s">
        <v>37</v>
      </c>
      <c r="C18">
        <v>184</v>
      </c>
      <c r="D18">
        <v>56</v>
      </c>
      <c r="E18">
        <v>66</v>
      </c>
      <c r="F18">
        <v>36</v>
      </c>
      <c r="G18">
        <v>47</v>
      </c>
      <c r="H18">
        <v>50</v>
      </c>
      <c r="I18">
        <v>22</v>
      </c>
      <c r="J18">
        <v>16</v>
      </c>
      <c r="K18">
        <v>14</v>
      </c>
      <c r="L18">
        <v>48</v>
      </c>
      <c r="M18">
        <v>7</v>
      </c>
      <c r="N18">
        <v>46</v>
      </c>
      <c r="O18">
        <v>34</v>
      </c>
      <c r="P18">
        <v>58</v>
      </c>
      <c r="Q18">
        <v>38</v>
      </c>
      <c r="R18">
        <v>74</v>
      </c>
      <c r="S18">
        <v>10</v>
      </c>
      <c r="T18">
        <v>13</v>
      </c>
      <c r="U18">
        <v>25</v>
      </c>
      <c r="V18">
        <v>61</v>
      </c>
      <c r="W18">
        <v>9</v>
      </c>
      <c r="X18">
        <v>20</v>
      </c>
      <c r="Y18">
        <v>41</v>
      </c>
      <c r="Z18">
        <v>4</v>
      </c>
      <c r="AA18">
        <v>8</v>
      </c>
      <c r="AB18">
        <v>65</v>
      </c>
      <c r="AC18">
        <v>19</v>
      </c>
      <c r="AD18">
        <v>15</v>
      </c>
      <c r="AE18">
        <v>3</v>
      </c>
      <c r="AF18">
        <v>26</v>
      </c>
      <c r="AG18">
        <v>70</v>
      </c>
      <c r="AH18">
        <v>28</v>
      </c>
      <c r="AI18">
        <v>2</v>
      </c>
      <c r="AJ18">
        <v>27</v>
      </c>
      <c r="AK18">
        <v>40</v>
      </c>
      <c r="AL18">
        <v>54</v>
      </c>
      <c r="AM18">
        <v>68</v>
      </c>
      <c r="AN18">
        <v>49</v>
      </c>
      <c r="AO18">
        <v>53</v>
      </c>
      <c r="AP18">
        <v>6</v>
      </c>
      <c r="AQ18">
        <v>62</v>
      </c>
      <c r="AR18">
        <v>52</v>
      </c>
      <c r="AS18">
        <v>73</v>
      </c>
      <c r="AT18">
        <v>33</v>
      </c>
      <c r="AU18">
        <v>29</v>
      </c>
      <c r="AV18">
        <v>55</v>
      </c>
      <c r="AW18">
        <v>39</v>
      </c>
      <c r="AX18">
        <v>37</v>
      </c>
      <c r="AY18">
        <v>24</v>
      </c>
      <c r="AZ18">
        <v>64</v>
      </c>
    </row>
    <row r="19" spans="1:71" x14ac:dyDescent="0.25">
      <c r="A19" s="4">
        <v>45717</v>
      </c>
      <c r="B19" t="s">
        <v>42</v>
      </c>
      <c r="C19">
        <v>185</v>
      </c>
      <c r="D19">
        <v>31</v>
      </c>
      <c r="E19">
        <v>39</v>
      </c>
      <c r="F19">
        <v>35</v>
      </c>
      <c r="G19">
        <v>58</v>
      </c>
      <c r="H19">
        <v>17</v>
      </c>
      <c r="I19">
        <v>13</v>
      </c>
      <c r="J19">
        <v>66</v>
      </c>
      <c r="K19">
        <v>22</v>
      </c>
      <c r="L19">
        <v>37</v>
      </c>
      <c r="M19">
        <v>24</v>
      </c>
      <c r="N19">
        <v>51</v>
      </c>
      <c r="O19">
        <v>52</v>
      </c>
      <c r="P19">
        <v>46</v>
      </c>
      <c r="Q19">
        <v>18</v>
      </c>
      <c r="R19">
        <v>6</v>
      </c>
      <c r="S19">
        <v>70</v>
      </c>
      <c r="T19">
        <v>54</v>
      </c>
      <c r="U19">
        <v>21</v>
      </c>
      <c r="V19">
        <v>68</v>
      </c>
      <c r="W19">
        <v>43</v>
      </c>
      <c r="X19">
        <v>3</v>
      </c>
      <c r="Y19">
        <v>23</v>
      </c>
      <c r="Z19">
        <v>63</v>
      </c>
      <c r="AA19">
        <v>42</v>
      </c>
      <c r="AB19">
        <v>62</v>
      </c>
      <c r="AC19">
        <v>36</v>
      </c>
      <c r="AD19">
        <v>65</v>
      </c>
      <c r="AE19">
        <v>15</v>
      </c>
      <c r="AF19">
        <v>26</v>
      </c>
      <c r="AG19">
        <v>48</v>
      </c>
      <c r="AH19">
        <v>55</v>
      </c>
      <c r="AI19">
        <v>67</v>
      </c>
      <c r="AJ19">
        <v>12</v>
      </c>
      <c r="AK19">
        <v>4</v>
      </c>
      <c r="AL19">
        <v>20</v>
      </c>
      <c r="AM19">
        <v>8</v>
      </c>
      <c r="AN19">
        <v>2</v>
      </c>
      <c r="AO19">
        <v>16</v>
      </c>
      <c r="AP19">
        <v>1</v>
      </c>
      <c r="AQ19">
        <v>75</v>
      </c>
      <c r="AR19">
        <v>57</v>
      </c>
      <c r="AS19">
        <v>40</v>
      </c>
      <c r="AT19">
        <v>25</v>
      </c>
      <c r="AU19">
        <v>72</v>
      </c>
      <c r="AV19">
        <v>19</v>
      </c>
      <c r="AW19">
        <v>29</v>
      </c>
      <c r="AX19">
        <v>56</v>
      </c>
      <c r="AY19">
        <v>32</v>
      </c>
    </row>
    <row r="20" spans="1:71" x14ac:dyDescent="0.25">
      <c r="A20" s="4">
        <v>45717</v>
      </c>
      <c r="B20" t="s">
        <v>7</v>
      </c>
      <c r="C20">
        <v>186</v>
      </c>
      <c r="D20">
        <v>54</v>
      </c>
      <c r="E20">
        <v>46</v>
      </c>
      <c r="F20">
        <v>44</v>
      </c>
      <c r="G20">
        <v>23</v>
      </c>
      <c r="H20">
        <v>40</v>
      </c>
      <c r="I20">
        <v>7</v>
      </c>
      <c r="J20">
        <v>41</v>
      </c>
      <c r="K20">
        <v>45</v>
      </c>
      <c r="L20">
        <v>17</v>
      </c>
      <c r="M20">
        <v>16</v>
      </c>
      <c r="N20">
        <v>53</v>
      </c>
      <c r="O20">
        <v>35</v>
      </c>
      <c r="P20">
        <v>58</v>
      </c>
      <c r="Q20">
        <v>13</v>
      </c>
      <c r="R20">
        <v>62</v>
      </c>
      <c r="S20">
        <v>42</v>
      </c>
      <c r="T20">
        <v>5</v>
      </c>
      <c r="U20">
        <v>14</v>
      </c>
      <c r="V20">
        <v>21</v>
      </c>
      <c r="W20">
        <v>47</v>
      </c>
      <c r="X20">
        <v>38</v>
      </c>
      <c r="Y20">
        <v>71</v>
      </c>
      <c r="Z20">
        <v>69</v>
      </c>
      <c r="AA20">
        <v>3</v>
      </c>
    </row>
    <row r="21" spans="1:71" x14ac:dyDescent="0.25">
      <c r="A21" s="4">
        <v>45717</v>
      </c>
      <c r="B21" t="s">
        <v>7</v>
      </c>
      <c r="C21">
        <v>187</v>
      </c>
      <c r="D21">
        <v>18</v>
      </c>
      <c r="E21">
        <v>47</v>
      </c>
      <c r="F21">
        <v>74</v>
      </c>
      <c r="G21">
        <v>34</v>
      </c>
      <c r="H21">
        <v>21</v>
      </c>
      <c r="I21">
        <v>1</v>
      </c>
      <c r="J21">
        <v>38</v>
      </c>
      <c r="K21">
        <v>40</v>
      </c>
      <c r="L21">
        <v>5</v>
      </c>
      <c r="M21">
        <v>69</v>
      </c>
      <c r="N21">
        <v>23</v>
      </c>
      <c r="O21">
        <v>6</v>
      </c>
      <c r="P21">
        <v>73</v>
      </c>
      <c r="Q21">
        <v>71</v>
      </c>
      <c r="R21">
        <v>4</v>
      </c>
      <c r="S21">
        <v>46</v>
      </c>
      <c r="T21">
        <v>28</v>
      </c>
      <c r="U21">
        <v>22</v>
      </c>
      <c r="V21">
        <v>51</v>
      </c>
      <c r="W21">
        <v>68</v>
      </c>
      <c r="X21">
        <v>72</v>
      </c>
      <c r="Y21">
        <v>60</v>
      </c>
      <c r="Z21">
        <v>25</v>
      </c>
      <c r="AA21">
        <v>61</v>
      </c>
      <c r="AB21">
        <v>30</v>
      </c>
      <c r="AC21">
        <v>31</v>
      </c>
      <c r="AD21">
        <v>11</v>
      </c>
      <c r="AE21">
        <v>8</v>
      </c>
      <c r="AF21">
        <v>59</v>
      </c>
      <c r="AG21">
        <v>48</v>
      </c>
      <c r="AH21">
        <v>35</v>
      </c>
      <c r="AI21">
        <v>26</v>
      </c>
      <c r="AJ21">
        <v>7</v>
      </c>
      <c r="AK21">
        <v>3</v>
      </c>
      <c r="AL21">
        <v>33</v>
      </c>
      <c r="AM21">
        <v>58</v>
      </c>
      <c r="AN21">
        <v>42</v>
      </c>
      <c r="AO21">
        <v>32</v>
      </c>
      <c r="AP21">
        <v>36</v>
      </c>
      <c r="AQ21">
        <v>66</v>
      </c>
      <c r="AR21">
        <v>15</v>
      </c>
      <c r="AS21">
        <v>37</v>
      </c>
      <c r="AT21">
        <v>45</v>
      </c>
      <c r="AU21">
        <v>67</v>
      </c>
      <c r="AV21">
        <v>9</v>
      </c>
      <c r="AW21">
        <v>29</v>
      </c>
      <c r="AX21">
        <v>75</v>
      </c>
      <c r="AY21">
        <v>13</v>
      </c>
      <c r="AZ21">
        <v>2</v>
      </c>
      <c r="BA21">
        <v>39</v>
      </c>
      <c r="BB21">
        <v>57</v>
      </c>
      <c r="BC21">
        <v>10</v>
      </c>
    </row>
    <row r="22" spans="1:71" x14ac:dyDescent="0.25">
      <c r="A22" s="4">
        <v>45717</v>
      </c>
      <c r="B22" t="s">
        <v>42</v>
      </c>
      <c r="C22">
        <v>188</v>
      </c>
      <c r="D22">
        <v>25</v>
      </c>
      <c r="E22">
        <v>15</v>
      </c>
      <c r="F22">
        <v>19</v>
      </c>
      <c r="G22">
        <v>36</v>
      </c>
      <c r="H22">
        <v>13</v>
      </c>
      <c r="I22">
        <v>52</v>
      </c>
      <c r="J22">
        <v>17</v>
      </c>
      <c r="K22">
        <v>56</v>
      </c>
      <c r="L22">
        <v>21</v>
      </c>
      <c r="M22">
        <v>46</v>
      </c>
      <c r="N22">
        <v>62</v>
      </c>
      <c r="O22">
        <v>45</v>
      </c>
      <c r="P22">
        <v>64</v>
      </c>
      <c r="Q22">
        <v>6</v>
      </c>
      <c r="R22">
        <v>40</v>
      </c>
      <c r="S22">
        <v>16</v>
      </c>
      <c r="T22">
        <v>4</v>
      </c>
      <c r="U22">
        <v>60</v>
      </c>
      <c r="V22">
        <v>38</v>
      </c>
      <c r="W22">
        <v>2</v>
      </c>
      <c r="X22">
        <v>18</v>
      </c>
      <c r="Y22">
        <v>10</v>
      </c>
      <c r="Z22">
        <v>53</v>
      </c>
      <c r="AA22">
        <v>34</v>
      </c>
      <c r="AB22">
        <v>29</v>
      </c>
      <c r="AC22">
        <v>54</v>
      </c>
      <c r="AD22">
        <v>12</v>
      </c>
      <c r="AE22">
        <v>9</v>
      </c>
      <c r="AF22">
        <v>67</v>
      </c>
      <c r="AG22">
        <v>20</v>
      </c>
      <c r="AH22">
        <v>51</v>
      </c>
      <c r="AI22">
        <v>65</v>
      </c>
      <c r="AJ22">
        <v>3</v>
      </c>
      <c r="AK22">
        <v>55</v>
      </c>
      <c r="AL22">
        <v>7</v>
      </c>
      <c r="AM22">
        <v>41</v>
      </c>
      <c r="AN22">
        <v>31</v>
      </c>
      <c r="AO22">
        <v>43</v>
      </c>
      <c r="AP22">
        <v>28</v>
      </c>
      <c r="AQ22">
        <v>47</v>
      </c>
      <c r="AR22">
        <v>33</v>
      </c>
      <c r="AS22">
        <v>27</v>
      </c>
      <c r="AT22">
        <v>23</v>
      </c>
    </row>
    <row r="23" spans="1:71" x14ac:dyDescent="0.25">
      <c r="A23" s="4">
        <v>45717</v>
      </c>
      <c r="B23" t="s">
        <v>9</v>
      </c>
      <c r="C23">
        <v>189</v>
      </c>
      <c r="D23">
        <v>34</v>
      </c>
      <c r="E23">
        <v>21</v>
      </c>
      <c r="F23">
        <v>65</v>
      </c>
      <c r="G23">
        <v>40</v>
      </c>
      <c r="H23">
        <v>17</v>
      </c>
      <c r="I23">
        <v>31</v>
      </c>
      <c r="J23">
        <v>24</v>
      </c>
      <c r="K23">
        <v>45</v>
      </c>
      <c r="L23">
        <v>68</v>
      </c>
      <c r="M23">
        <v>49</v>
      </c>
      <c r="N23">
        <v>3</v>
      </c>
      <c r="O23">
        <v>26</v>
      </c>
      <c r="P23">
        <v>72</v>
      </c>
      <c r="Q23">
        <v>60</v>
      </c>
      <c r="R23">
        <v>51</v>
      </c>
      <c r="S23">
        <v>2</v>
      </c>
      <c r="T23">
        <v>41</v>
      </c>
      <c r="U23">
        <v>10</v>
      </c>
      <c r="V23">
        <v>22</v>
      </c>
      <c r="W23">
        <v>9</v>
      </c>
      <c r="X23">
        <v>52</v>
      </c>
      <c r="Y23">
        <v>35</v>
      </c>
      <c r="Z23">
        <v>74</v>
      </c>
      <c r="AA23">
        <v>8</v>
      </c>
      <c r="AB23">
        <v>23</v>
      </c>
      <c r="AC23">
        <v>39</v>
      </c>
      <c r="AD23">
        <v>33</v>
      </c>
      <c r="AE23">
        <v>38</v>
      </c>
      <c r="AF23">
        <v>75</v>
      </c>
      <c r="AG23">
        <v>55</v>
      </c>
      <c r="AH23">
        <v>29</v>
      </c>
      <c r="AI23">
        <v>30</v>
      </c>
      <c r="AJ23">
        <v>62</v>
      </c>
      <c r="AK23">
        <v>18</v>
      </c>
      <c r="AL23">
        <v>14</v>
      </c>
      <c r="AM23">
        <v>47</v>
      </c>
      <c r="AN23">
        <v>56</v>
      </c>
      <c r="AO23">
        <v>27</v>
      </c>
      <c r="AP23">
        <v>66</v>
      </c>
      <c r="AQ23">
        <v>13</v>
      </c>
      <c r="AR23">
        <v>37</v>
      </c>
      <c r="AS23">
        <v>63</v>
      </c>
      <c r="AT23">
        <v>32</v>
      </c>
      <c r="AU23">
        <v>59</v>
      </c>
      <c r="AV23">
        <v>46</v>
      </c>
      <c r="AW23">
        <v>43</v>
      </c>
      <c r="AX23">
        <v>50</v>
      </c>
      <c r="AY23">
        <v>54</v>
      </c>
      <c r="AZ23">
        <v>19</v>
      </c>
      <c r="BA23">
        <v>44</v>
      </c>
      <c r="BB23">
        <v>11</v>
      </c>
      <c r="BC23">
        <v>15</v>
      </c>
      <c r="BD23">
        <v>4</v>
      </c>
      <c r="BE23">
        <v>20</v>
      </c>
      <c r="BF23">
        <v>12</v>
      </c>
      <c r="BG23">
        <v>53</v>
      </c>
      <c r="BH23">
        <v>5</v>
      </c>
      <c r="BI23">
        <v>67</v>
      </c>
      <c r="BJ23">
        <v>69</v>
      </c>
      <c r="BK23">
        <v>1</v>
      </c>
      <c r="BL23">
        <v>64</v>
      </c>
      <c r="BM23">
        <v>16</v>
      </c>
      <c r="BN23">
        <v>58</v>
      </c>
      <c r="BO23">
        <v>57</v>
      </c>
      <c r="BP23">
        <v>28</v>
      </c>
      <c r="BQ23">
        <v>36</v>
      </c>
      <c r="BR23">
        <v>6</v>
      </c>
    </row>
    <row r="24" spans="1:71" x14ac:dyDescent="0.25">
      <c r="A24" s="4">
        <v>45735</v>
      </c>
      <c r="B24" t="s">
        <v>90</v>
      </c>
      <c r="C24">
        <v>190</v>
      </c>
      <c r="D24">
        <v>5</v>
      </c>
    </row>
    <row r="25" spans="1:71" x14ac:dyDescent="0.25">
      <c r="A25" s="4">
        <v>45735</v>
      </c>
      <c r="B25" t="s">
        <v>90</v>
      </c>
      <c r="C25">
        <v>191</v>
      </c>
      <c r="D25">
        <v>72</v>
      </c>
      <c r="E25">
        <v>43</v>
      </c>
      <c r="F25">
        <v>52</v>
      </c>
      <c r="G25">
        <v>57</v>
      </c>
      <c r="H25">
        <v>66</v>
      </c>
      <c r="I25">
        <v>68</v>
      </c>
      <c r="J25">
        <v>19</v>
      </c>
      <c r="K25">
        <v>22</v>
      </c>
      <c r="L25">
        <v>27</v>
      </c>
      <c r="M25">
        <v>49</v>
      </c>
      <c r="N25">
        <v>6</v>
      </c>
      <c r="O25">
        <v>2</v>
      </c>
      <c r="P25">
        <v>35</v>
      </c>
      <c r="Q25">
        <v>55</v>
      </c>
      <c r="R25">
        <v>3</v>
      </c>
      <c r="S25">
        <v>45</v>
      </c>
      <c r="T25">
        <v>74</v>
      </c>
      <c r="U25">
        <v>53</v>
      </c>
      <c r="V25">
        <v>62</v>
      </c>
      <c r="W25">
        <v>47</v>
      </c>
      <c r="X25">
        <v>61</v>
      </c>
      <c r="Y25">
        <v>34</v>
      </c>
      <c r="Z25">
        <v>21</v>
      </c>
      <c r="AA25">
        <v>1</v>
      </c>
      <c r="AB25">
        <v>37</v>
      </c>
      <c r="AC25">
        <v>56</v>
      </c>
      <c r="AD25">
        <v>24</v>
      </c>
      <c r="AE25">
        <v>30</v>
      </c>
      <c r="AF25">
        <v>58</v>
      </c>
      <c r="AG25">
        <v>69</v>
      </c>
      <c r="AH25">
        <v>5</v>
      </c>
      <c r="AI25">
        <v>64</v>
      </c>
      <c r="AJ25">
        <v>28</v>
      </c>
      <c r="AK25">
        <v>29</v>
      </c>
      <c r="AL25">
        <v>23</v>
      </c>
      <c r="AM25">
        <v>50</v>
      </c>
      <c r="AN25">
        <v>14</v>
      </c>
      <c r="AO25">
        <v>9</v>
      </c>
      <c r="AP25">
        <v>38</v>
      </c>
      <c r="AQ25">
        <v>4</v>
      </c>
      <c r="AR25">
        <v>10</v>
      </c>
      <c r="AS25">
        <v>48</v>
      </c>
      <c r="AT25">
        <v>60</v>
      </c>
      <c r="AU25">
        <v>17</v>
      </c>
      <c r="AV25">
        <v>40</v>
      </c>
      <c r="AW25">
        <v>67</v>
      </c>
      <c r="AX25">
        <v>73</v>
      </c>
      <c r="AY25">
        <v>18</v>
      </c>
      <c r="AZ25">
        <v>65</v>
      </c>
      <c r="BA25">
        <v>36</v>
      </c>
      <c r="BB25">
        <v>46</v>
      </c>
      <c r="BC25">
        <v>33</v>
      </c>
      <c r="BD25">
        <v>25</v>
      </c>
    </row>
    <row r="26" spans="1:71" x14ac:dyDescent="0.25">
      <c r="A26" s="4">
        <v>45735</v>
      </c>
      <c r="B26" t="s">
        <v>37</v>
      </c>
      <c r="C26">
        <v>192</v>
      </c>
    </row>
    <row r="27" spans="1:71" x14ac:dyDescent="0.25">
      <c r="A27" s="4">
        <v>45735</v>
      </c>
      <c r="B27" t="s">
        <v>90</v>
      </c>
      <c r="C27">
        <v>193</v>
      </c>
      <c r="D27">
        <v>9</v>
      </c>
      <c r="E27">
        <v>39</v>
      </c>
      <c r="F27">
        <v>61</v>
      </c>
      <c r="G27">
        <v>66</v>
      </c>
      <c r="H27">
        <v>47</v>
      </c>
      <c r="I27">
        <v>27</v>
      </c>
      <c r="J27">
        <v>74</v>
      </c>
      <c r="K27">
        <v>59</v>
      </c>
      <c r="L27">
        <v>54</v>
      </c>
      <c r="M27">
        <v>75</v>
      </c>
      <c r="N27">
        <v>49</v>
      </c>
      <c r="O27">
        <v>60</v>
      </c>
      <c r="P27">
        <v>23</v>
      </c>
      <c r="Q27">
        <v>13</v>
      </c>
      <c r="R27">
        <v>65</v>
      </c>
      <c r="S27">
        <v>28</v>
      </c>
      <c r="T27">
        <v>40</v>
      </c>
      <c r="U27">
        <v>29</v>
      </c>
      <c r="V27">
        <v>51</v>
      </c>
      <c r="W27">
        <v>5</v>
      </c>
      <c r="X27">
        <v>48</v>
      </c>
      <c r="Y27">
        <v>63</v>
      </c>
      <c r="Z27">
        <v>73</v>
      </c>
      <c r="AA27">
        <v>7</v>
      </c>
      <c r="AB27">
        <v>68</v>
      </c>
      <c r="AC27">
        <v>26</v>
      </c>
      <c r="AD27">
        <v>22</v>
      </c>
      <c r="AE27">
        <v>38</v>
      </c>
      <c r="AF27">
        <v>43</v>
      </c>
      <c r="AG27">
        <v>18</v>
      </c>
      <c r="AH27">
        <v>37</v>
      </c>
      <c r="AI27">
        <v>67</v>
      </c>
      <c r="AJ27">
        <v>20</v>
      </c>
      <c r="AK27">
        <v>3</v>
      </c>
      <c r="AL27">
        <v>15</v>
      </c>
      <c r="AM27">
        <v>46</v>
      </c>
      <c r="AN27">
        <v>55</v>
      </c>
      <c r="AO27">
        <v>21</v>
      </c>
      <c r="AP27">
        <v>45</v>
      </c>
      <c r="AQ27">
        <v>30</v>
      </c>
      <c r="AR27">
        <v>53</v>
      </c>
      <c r="AS27">
        <v>25</v>
      </c>
      <c r="AT27">
        <v>11</v>
      </c>
    </row>
    <row r="28" spans="1:71" x14ac:dyDescent="0.25">
      <c r="A28" s="4">
        <v>45735</v>
      </c>
      <c r="B28" t="s">
        <v>9</v>
      </c>
      <c r="C28">
        <v>194</v>
      </c>
      <c r="D28">
        <v>24</v>
      </c>
      <c r="E28">
        <v>17</v>
      </c>
      <c r="F28">
        <v>74</v>
      </c>
      <c r="G28">
        <v>23</v>
      </c>
      <c r="H28">
        <v>45</v>
      </c>
      <c r="I28">
        <v>33</v>
      </c>
      <c r="J28">
        <v>47</v>
      </c>
      <c r="K28">
        <v>1</v>
      </c>
      <c r="L28">
        <v>9</v>
      </c>
      <c r="M28">
        <v>43</v>
      </c>
      <c r="N28">
        <v>27</v>
      </c>
      <c r="O28">
        <v>48</v>
      </c>
      <c r="P28">
        <v>57</v>
      </c>
      <c r="Q28">
        <v>11</v>
      </c>
      <c r="R28">
        <v>19</v>
      </c>
      <c r="S28">
        <v>25</v>
      </c>
      <c r="T28">
        <v>39</v>
      </c>
      <c r="U28">
        <v>54</v>
      </c>
      <c r="V28">
        <v>51</v>
      </c>
      <c r="W28">
        <v>62</v>
      </c>
      <c r="X28">
        <v>38</v>
      </c>
      <c r="Y28">
        <v>50</v>
      </c>
      <c r="Z28">
        <v>69</v>
      </c>
      <c r="AA28">
        <v>10</v>
      </c>
      <c r="AB28">
        <v>28</v>
      </c>
      <c r="AC28">
        <v>73</v>
      </c>
      <c r="AD28">
        <v>65</v>
      </c>
      <c r="AE28">
        <v>3</v>
      </c>
      <c r="AF28">
        <v>18</v>
      </c>
      <c r="AG28">
        <v>68</v>
      </c>
      <c r="AH28">
        <v>44</v>
      </c>
      <c r="AI28">
        <v>75</v>
      </c>
      <c r="AJ28">
        <v>52</v>
      </c>
      <c r="AK28">
        <v>6</v>
      </c>
      <c r="AL28">
        <v>2</v>
      </c>
      <c r="AM28">
        <v>72</v>
      </c>
      <c r="AN28">
        <v>16</v>
      </c>
      <c r="AO28">
        <v>55</v>
      </c>
      <c r="AP28">
        <v>46</v>
      </c>
      <c r="AQ28">
        <v>14</v>
      </c>
      <c r="AR28">
        <v>32</v>
      </c>
      <c r="AS28">
        <v>60</v>
      </c>
      <c r="AT28">
        <v>34</v>
      </c>
      <c r="AU28">
        <v>37</v>
      </c>
      <c r="AV28">
        <v>59</v>
      </c>
      <c r="AW28">
        <v>61</v>
      </c>
      <c r="AX28">
        <v>64</v>
      </c>
      <c r="AY28">
        <v>29</v>
      </c>
      <c r="AZ28">
        <v>5</v>
      </c>
      <c r="BA28">
        <v>49</v>
      </c>
      <c r="BB28">
        <v>71</v>
      </c>
      <c r="BC28">
        <v>15</v>
      </c>
      <c r="BD28">
        <v>53</v>
      </c>
      <c r="BE28">
        <v>70</v>
      </c>
      <c r="BF28">
        <v>42</v>
      </c>
      <c r="BG28">
        <v>36</v>
      </c>
      <c r="BH28">
        <v>63</v>
      </c>
      <c r="BI28">
        <v>56</v>
      </c>
      <c r="BJ28">
        <v>13</v>
      </c>
      <c r="BK28">
        <v>26</v>
      </c>
      <c r="BL28">
        <v>20</v>
      </c>
      <c r="BM28">
        <v>31</v>
      </c>
      <c r="BN28">
        <v>35</v>
      </c>
      <c r="BO28">
        <v>58</v>
      </c>
      <c r="BP28">
        <v>4</v>
      </c>
      <c r="BQ28">
        <v>40</v>
      </c>
      <c r="BR28">
        <v>66</v>
      </c>
    </row>
    <row r="29" spans="1:71" x14ac:dyDescent="0.25">
      <c r="A29" s="4">
        <v>45752</v>
      </c>
      <c r="B29" t="s">
        <v>9</v>
      </c>
      <c r="C29">
        <v>195</v>
      </c>
      <c r="D29">
        <v>67</v>
      </c>
      <c r="E29">
        <v>52</v>
      </c>
      <c r="F29">
        <v>4</v>
      </c>
      <c r="G29">
        <v>71</v>
      </c>
      <c r="H29">
        <v>34</v>
      </c>
      <c r="I29">
        <v>41</v>
      </c>
      <c r="J29">
        <v>40</v>
      </c>
      <c r="K29">
        <v>26</v>
      </c>
      <c r="L29">
        <v>5</v>
      </c>
      <c r="M29">
        <v>69</v>
      </c>
      <c r="N29">
        <v>12</v>
      </c>
      <c r="O29">
        <v>72</v>
      </c>
      <c r="P29">
        <v>3</v>
      </c>
      <c r="Q29">
        <v>22</v>
      </c>
      <c r="R29">
        <v>18</v>
      </c>
      <c r="S29">
        <v>50</v>
      </c>
      <c r="T29">
        <v>47</v>
      </c>
      <c r="U29">
        <v>64</v>
      </c>
      <c r="V29">
        <v>56</v>
      </c>
      <c r="W29">
        <v>74</v>
      </c>
      <c r="X29">
        <v>58</v>
      </c>
      <c r="Y29">
        <v>20</v>
      </c>
      <c r="Z29">
        <v>73</v>
      </c>
      <c r="AA29">
        <v>39</v>
      </c>
      <c r="AB29">
        <v>31</v>
      </c>
      <c r="AC29">
        <v>68</v>
      </c>
      <c r="AD29">
        <v>63</v>
      </c>
      <c r="AE29">
        <v>33</v>
      </c>
      <c r="AF29">
        <v>36</v>
      </c>
      <c r="AG29">
        <v>43</v>
      </c>
      <c r="AH29">
        <v>1</v>
      </c>
      <c r="AI29">
        <v>11</v>
      </c>
      <c r="AJ29">
        <v>44</v>
      </c>
      <c r="AK29">
        <v>53</v>
      </c>
      <c r="AL29">
        <v>75</v>
      </c>
      <c r="AM29">
        <v>46</v>
      </c>
      <c r="AN29">
        <v>7</v>
      </c>
      <c r="AO29">
        <v>32</v>
      </c>
      <c r="AP29">
        <v>60</v>
      </c>
      <c r="AQ29">
        <v>45</v>
      </c>
      <c r="AR29">
        <v>23</v>
      </c>
      <c r="AS29">
        <v>9</v>
      </c>
      <c r="AT29">
        <v>29</v>
      </c>
      <c r="AU29">
        <v>27</v>
      </c>
      <c r="AV29">
        <v>55</v>
      </c>
      <c r="AW29">
        <v>19</v>
      </c>
      <c r="AX29">
        <v>61</v>
      </c>
      <c r="AY29">
        <v>57</v>
      </c>
      <c r="AZ29">
        <v>49</v>
      </c>
      <c r="BA29">
        <v>24</v>
      </c>
    </row>
    <row r="30" spans="1:71" x14ac:dyDescent="0.25">
      <c r="A30" s="4">
        <v>45752</v>
      </c>
      <c r="B30" t="s">
        <v>41</v>
      </c>
      <c r="C30">
        <v>196</v>
      </c>
      <c r="D30">
        <v>24</v>
      </c>
      <c r="E30">
        <v>27</v>
      </c>
      <c r="F30">
        <v>9</v>
      </c>
      <c r="G30">
        <v>59</v>
      </c>
      <c r="H30">
        <v>52</v>
      </c>
      <c r="I30">
        <v>39</v>
      </c>
      <c r="J30">
        <v>10</v>
      </c>
      <c r="K30">
        <v>30</v>
      </c>
      <c r="L30">
        <v>13</v>
      </c>
      <c r="M30">
        <v>45</v>
      </c>
      <c r="N30">
        <v>33</v>
      </c>
      <c r="O30">
        <v>11</v>
      </c>
      <c r="P30">
        <v>47</v>
      </c>
      <c r="Q30">
        <v>2</v>
      </c>
      <c r="R30">
        <v>17</v>
      </c>
      <c r="S30">
        <v>21</v>
      </c>
      <c r="T30">
        <v>3</v>
      </c>
      <c r="U30">
        <v>56</v>
      </c>
      <c r="V30">
        <v>75</v>
      </c>
      <c r="W30">
        <v>16</v>
      </c>
      <c r="X30">
        <v>5</v>
      </c>
      <c r="Y30">
        <v>67</v>
      </c>
      <c r="Z30">
        <v>29</v>
      </c>
      <c r="AA30">
        <v>70</v>
      </c>
      <c r="AB30">
        <v>14</v>
      </c>
      <c r="AC30">
        <v>68</v>
      </c>
      <c r="AD30">
        <v>36</v>
      </c>
      <c r="AE30">
        <v>8</v>
      </c>
      <c r="AF30">
        <v>19</v>
      </c>
      <c r="AG30">
        <v>65</v>
      </c>
      <c r="AH30">
        <v>54</v>
      </c>
      <c r="AI30">
        <v>44</v>
      </c>
      <c r="AJ30">
        <v>35</v>
      </c>
      <c r="AK30">
        <v>22</v>
      </c>
      <c r="AL30">
        <v>66</v>
      </c>
      <c r="AM30">
        <v>60</v>
      </c>
      <c r="AN30">
        <v>26</v>
      </c>
      <c r="AO30">
        <v>37</v>
      </c>
      <c r="AP30">
        <v>7</v>
      </c>
      <c r="AQ30">
        <v>71</v>
      </c>
      <c r="AR30">
        <v>28</v>
      </c>
      <c r="AS30">
        <v>43</v>
      </c>
      <c r="AT30">
        <v>49</v>
      </c>
      <c r="AU30">
        <v>50</v>
      </c>
      <c r="AV30">
        <v>1</v>
      </c>
      <c r="AW30">
        <v>53</v>
      </c>
      <c r="AX30">
        <v>74</v>
      </c>
      <c r="AY30">
        <v>64</v>
      </c>
    </row>
    <row r="31" spans="1:71" x14ac:dyDescent="0.25">
      <c r="A31" s="4">
        <v>45752</v>
      </c>
      <c r="B31" t="s">
        <v>37</v>
      </c>
      <c r="C31">
        <v>197</v>
      </c>
      <c r="D31">
        <v>35</v>
      </c>
      <c r="E31">
        <v>28</v>
      </c>
      <c r="F31">
        <v>68</v>
      </c>
      <c r="G31">
        <v>45</v>
      </c>
      <c r="H31">
        <v>30</v>
      </c>
      <c r="I31">
        <v>46</v>
      </c>
      <c r="J31">
        <v>34</v>
      </c>
      <c r="K31">
        <v>10</v>
      </c>
      <c r="L31">
        <v>4</v>
      </c>
      <c r="M31">
        <v>48</v>
      </c>
      <c r="N31">
        <v>64</v>
      </c>
      <c r="O31">
        <v>19</v>
      </c>
      <c r="P31">
        <v>41</v>
      </c>
      <c r="Q31">
        <v>55</v>
      </c>
      <c r="R31">
        <v>36</v>
      </c>
      <c r="S31">
        <v>51</v>
      </c>
      <c r="T31">
        <v>47</v>
      </c>
      <c r="U31">
        <v>25</v>
      </c>
      <c r="V31">
        <v>49</v>
      </c>
      <c r="W31">
        <v>18</v>
      </c>
      <c r="X31">
        <v>12</v>
      </c>
      <c r="Y31">
        <v>74</v>
      </c>
      <c r="Z31">
        <v>27</v>
      </c>
      <c r="AA31">
        <v>1</v>
      </c>
      <c r="AB31">
        <v>70</v>
      </c>
      <c r="AC31">
        <v>24</v>
      </c>
      <c r="AD31">
        <v>26</v>
      </c>
      <c r="AE31">
        <v>29</v>
      </c>
      <c r="AF31">
        <v>54</v>
      </c>
      <c r="AG31">
        <v>66</v>
      </c>
      <c r="AH31">
        <v>42</v>
      </c>
      <c r="AI31">
        <v>16</v>
      </c>
      <c r="AJ31">
        <v>62</v>
      </c>
      <c r="AK31">
        <v>63</v>
      </c>
      <c r="AL31">
        <v>3</v>
      </c>
      <c r="AM31">
        <v>20</v>
      </c>
      <c r="AN31">
        <v>50</v>
      </c>
      <c r="AO31">
        <v>31</v>
      </c>
      <c r="AP31">
        <v>11</v>
      </c>
      <c r="AQ31">
        <v>71</v>
      </c>
      <c r="AR31">
        <v>69</v>
      </c>
      <c r="AS31">
        <v>2</v>
      </c>
      <c r="AT31">
        <v>14</v>
      </c>
      <c r="AU31">
        <v>22</v>
      </c>
      <c r="AV31">
        <v>56</v>
      </c>
      <c r="AW31">
        <v>60</v>
      </c>
      <c r="AX31">
        <v>5</v>
      </c>
      <c r="AY31">
        <v>57</v>
      </c>
    </row>
    <row r="32" spans="1:71" x14ac:dyDescent="0.25">
      <c r="A32" s="4">
        <v>45752</v>
      </c>
      <c r="B32" t="s">
        <v>9</v>
      </c>
      <c r="C32">
        <v>198</v>
      </c>
      <c r="D32">
        <v>42</v>
      </c>
      <c r="E32">
        <v>61</v>
      </c>
      <c r="F32">
        <v>35</v>
      </c>
      <c r="G32">
        <v>31</v>
      </c>
      <c r="H32">
        <v>48</v>
      </c>
      <c r="I32">
        <v>70</v>
      </c>
      <c r="J32">
        <v>36</v>
      </c>
      <c r="K32">
        <v>46</v>
      </c>
      <c r="L32">
        <v>9</v>
      </c>
      <c r="M32">
        <v>49</v>
      </c>
      <c r="N32">
        <v>50</v>
      </c>
      <c r="O32">
        <v>3</v>
      </c>
      <c r="P32">
        <v>47</v>
      </c>
      <c r="Q32">
        <v>56</v>
      </c>
      <c r="R32">
        <v>30</v>
      </c>
      <c r="S32">
        <v>38</v>
      </c>
      <c r="T32">
        <v>45</v>
      </c>
      <c r="U32">
        <v>21</v>
      </c>
      <c r="V32">
        <v>12</v>
      </c>
      <c r="W32">
        <v>62</v>
      </c>
      <c r="X32">
        <v>11</v>
      </c>
      <c r="Y32">
        <v>75</v>
      </c>
      <c r="Z32">
        <v>60</v>
      </c>
      <c r="AA32">
        <v>28</v>
      </c>
      <c r="AB32">
        <v>10</v>
      </c>
      <c r="AC32">
        <v>71</v>
      </c>
      <c r="AD32">
        <v>52</v>
      </c>
      <c r="AE32">
        <v>14</v>
      </c>
      <c r="AF32">
        <v>63</v>
      </c>
      <c r="AG32">
        <v>67</v>
      </c>
      <c r="AH32">
        <v>17</v>
      </c>
      <c r="AI32">
        <v>57</v>
      </c>
      <c r="AJ32">
        <v>32</v>
      </c>
      <c r="AK32">
        <v>41</v>
      </c>
      <c r="AL32">
        <v>55</v>
      </c>
      <c r="AM32">
        <v>13</v>
      </c>
      <c r="AN32">
        <v>74</v>
      </c>
      <c r="AO32">
        <v>73</v>
      </c>
      <c r="AP32">
        <v>53</v>
      </c>
      <c r="AQ32">
        <v>22</v>
      </c>
      <c r="AR32">
        <v>26</v>
      </c>
      <c r="AS32">
        <v>24</v>
      </c>
      <c r="AT32">
        <v>40</v>
      </c>
      <c r="AU32">
        <v>33</v>
      </c>
      <c r="AV32">
        <v>7</v>
      </c>
      <c r="AW32">
        <v>29</v>
      </c>
      <c r="AX32">
        <v>4</v>
      </c>
      <c r="AY32">
        <v>69</v>
      </c>
      <c r="AZ32">
        <v>15</v>
      </c>
      <c r="BA32">
        <v>72</v>
      </c>
      <c r="BB32">
        <v>18</v>
      </c>
      <c r="BC32">
        <v>34</v>
      </c>
      <c r="BD32">
        <v>5</v>
      </c>
      <c r="BE32">
        <v>59</v>
      </c>
      <c r="BF32">
        <v>20</v>
      </c>
      <c r="BG32">
        <v>54</v>
      </c>
      <c r="BH32">
        <v>23</v>
      </c>
      <c r="BI32">
        <v>66</v>
      </c>
      <c r="BJ32">
        <v>39</v>
      </c>
      <c r="BK32">
        <v>27</v>
      </c>
      <c r="BL32">
        <v>6</v>
      </c>
      <c r="BM32">
        <v>1</v>
      </c>
      <c r="BN32">
        <v>2</v>
      </c>
      <c r="BO32">
        <v>16</v>
      </c>
      <c r="BP32">
        <v>51</v>
      </c>
      <c r="BQ32">
        <v>58</v>
      </c>
      <c r="BR32">
        <v>43</v>
      </c>
      <c r="BS32">
        <v>44</v>
      </c>
    </row>
    <row r="33" spans="1:66" x14ac:dyDescent="0.25">
      <c r="A33" s="4">
        <v>45752</v>
      </c>
      <c r="B33" t="s">
        <v>9</v>
      </c>
      <c r="C33">
        <v>199</v>
      </c>
      <c r="D33">
        <v>71</v>
      </c>
      <c r="E33">
        <v>14</v>
      </c>
    </row>
    <row r="34" spans="1:66" x14ac:dyDescent="0.25">
      <c r="A34" s="4">
        <v>45759</v>
      </c>
      <c r="B34" t="s">
        <v>9</v>
      </c>
      <c r="C34">
        <v>200</v>
      </c>
      <c r="D34">
        <v>20</v>
      </c>
      <c r="E34">
        <v>54</v>
      </c>
      <c r="F34">
        <v>13</v>
      </c>
      <c r="G34">
        <v>41</v>
      </c>
      <c r="H34">
        <v>74</v>
      </c>
      <c r="I34">
        <v>15</v>
      </c>
      <c r="J34">
        <v>57</v>
      </c>
      <c r="K34">
        <v>22</v>
      </c>
      <c r="L34">
        <v>24</v>
      </c>
      <c r="M34">
        <v>30</v>
      </c>
      <c r="N34">
        <v>33</v>
      </c>
      <c r="O34">
        <v>6</v>
      </c>
      <c r="P34">
        <v>11</v>
      </c>
      <c r="Q34">
        <v>43</v>
      </c>
      <c r="R34">
        <v>8</v>
      </c>
      <c r="S34">
        <v>25</v>
      </c>
    </row>
    <row r="35" spans="1:66" x14ac:dyDescent="0.25">
      <c r="A35" s="4">
        <v>45759</v>
      </c>
      <c r="B35" t="s">
        <v>36</v>
      </c>
      <c r="C35">
        <v>201</v>
      </c>
      <c r="D35">
        <v>61</v>
      </c>
      <c r="E35">
        <v>23</v>
      </c>
      <c r="F35">
        <v>54</v>
      </c>
      <c r="G35">
        <v>21</v>
      </c>
      <c r="H35">
        <v>42</v>
      </c>
      <c r="I35">
        <v>27</v>
      </c>
      <c r="J35">
        <v>18</v>
      </c>
      <c r="K35">
        <v>46</v>
      </c>
      <c r="L35">
        <v>33</v>
      </c>
      <c r="M35">
        <v>50</v>
      </c>
      <c r="N35">
        <v>28</v>
      </c>
      <c r="O35">
        <v>3</v>
      </c>
      <c r="P35">
        <v>5</v>
      </c>
      <c r="Q35">
        <v>49</v>
      </c>
      <c r="R35">
        <v>2</v>
      </c>
      <c r="S35">
        <v>14</v>
      </c>
      <c r="T35">
        <v>7</v>
      </c>
      <c r="U35">
        <v>71</v>
      </c>
      <c r="V35">
        <v>67</v>
      </c>
      <c r="W35">
        <v>4</v>
      </c>
      <c r="X35">
        <v>37</v>
      </c>
      <c r="Y35">
        <v>75</v>
      </c>
      <c r="Z35">
        <v>56</v>
      </c>
      <c r="AA35">
        <v>32</v>
      </c>
      <c r="AB35">
        <v>12</v>
      </c>
      <c r="AC35">
        <v>40</v>
      </c>
      <c r="AD35">
        <v>10</v>
      </c>
      <c r="AE35">
        <v>8</v>
      </c>
      <c r="AF35">
        <v>16</v>
      </c>
      <c r="AG35">
        <v>64</v>
      </c>
      <c r="AH35">
        <v>17</v>
      </c>
      <c r="AI35">
        <v>57</v>
      </c>
      <c r="AJ35">
        <v>48</v>
      </c>
      <c r="AK35">
        <v>11</v>
      </c>
      <c r="AL35">
        <v>1</v>
      </c>
      <c r="AM35">
        <v>55</v>
      </c>
      <c r="AN35">
        <v>29</v>
      </c>
      <c r="AO35">
        <v>30</v>
      </c>
      <c r="AP35">
        <v>13</v>
      </c>
      <c r="AQ35">
        <v>58</v>
      </c>
      <c r="AR35">
        <v>15</v>
      </c>
      <c r="AS35">
        <v>26</v>
      </c>
      <c r="AT35">
        <v>24</v>
      </c>
      <c r="AU35">
        <v>25</v>
      </c>
      <c r="AV35">
        <v>38</v>
      </c>
      <c r="AW35">
        <v>63</v>
      </c>
      <c r="AX35">
        <v>74</v>
      </c>
      <c r="AY35">
        <v>72</v>
      </c>
      <c r="AZ35">
        <v>36</v>
      </c>
      <c r="BA35">
        <v>52</v>
      </c>
      <c r="BB35">
        <v>39</v>
      </c>
      <c r="BC35">
        <v>41</v>
      </c>
      <c r="BD35">
        <v>43</v>
      </c>
    </row>
    <row r="36" spans="1:66" x14ac:dyDescent="0.25">
      <c r="A36" s="4">
        <v>45759</v>
      </c>
      <c r="B36" t="s">
        <v>36</v>
      </c>
      <c r="C36">
        <v>202</v>
      </c>
      <c r="D36">
        <v>20</v>
      </c>
      <c r="E36">
        <v>35</v>
      </c>
      <c r="F36">
        <v>19</v>
      </c>
      <c r="G36">
        <v>68</v>
      </c>
      <c r="H36">
        <v>56</v>
      </c>
      <c r="I36">
        <v>7</v>
      </c>
      <c r="J36">
        <v>74</v>
      </c>
      <c r="K36">
        <v>26</v>
      </c>
      <c r="L36">
        <v>55</v>
      </c>
      <c r="M36">
        <v>72</v>
      </c>
      <c r="N36">
        <v>46</v>
      </c>
      <c r="O36">
        <v>22</v>
      </c>
      <c r="P36">
        <v>40</v>
      </c>
      <c r="Q36">
        <v>53</v>
      </c>
      <c r="R36">
        <v>48</v>
      </c>
      <c r="S36">
        <v>31</v>
      </c>
      <c r="T36">
        <v>69</v>
      </c>
      <c r="U36">
        <v>33</v>
      </c>
      <c r="V36">
        <v>75</v>
      </c>
      <c r="W36">
        <v>27</v>
      </c>
      <c r="X36">
        <v>17</v>
      </c>
      <c r="Y36">
        <v>3</v>
      </c>
      <c r="Z36">
        <v>24</v>
      </c>
      <c r="AA36">
        <v>57</v>
      </c>
      <c r="AB36">
        <v>14</v>
      </c>
      <c r="AC36">
        <v>15</v>
      </c>
      <c r="AD36">
        <v>62</v>
      </c>
      <c r="AE36">
        <v>37</v>
      </c>
      <c r="AF36">
        <v>73</v>
      </c>
      <c r="AG36">
        <v>50</v>
      </c>
      <c r="AH36">
        <v>21</v>
      </c>
      <c r="AI36">
        <v>29</v>
      </c>
      <c r="AJ36">
        <v>61</v>
      </c>
      <c r="AK36">
        <v>44</v>
      </c>
      <c r="AL36">
        <v>13</v>
      </c>
      <c r="AM36">
        <v>49</v>
      </c>
      <c r="AN36">
        <v>5</v>
      </c>
      <c r="AO36">
        <v>45</v>
      </c>
      <c r="AP36">
        <v>8</v>
      </c>
      <c r="AQ36">
        <v>23</v>
      </c>
      <c r="AR36">
        <v>9</v>
      </c>
      <c r="AS36">
        <v>52</v>
      </c>
      <c r="AT36">
        <v>63</v>
      </c>
      <c r="AU36">
        <v>47</v>
      </c>
      <c r="AV36">
        <v>12</v>
      </c>
      <c r="AW36">
        <v>11</v>
      </c>
      <c r="AX36">
        <v>51</v>
      </c>
    </row>
    <row r="37" spans="1:66" x14ac:dyDescent="0.25">
      <c r="A37" s="4">
        <v>45759</v>
      </c>
      <c r="B37" t="s">
        <v>37</v>
      </c>
      <c r="C37">
        <v>203</v>
      </c>
      <c r="D37">
        <v>39</v>
      </c>
      <c r="E37">
        <v>57</v>
      </c>
      <c r="F37">
        <v>23</v>
      </c>
      <c r="G37">
        <v>15</v>
      </c>
      <c r="H37">
        <v>58</v>
      </c>
      <c r="I37">
        <v>51</v>
      </c>
      <c r="J37">
        <v>32</v>
      </c>
      <c r="K37">
        <v>35</v>
      </c>
      <c r="L37">
        <v>30</v>
      </c>
      <c r="M37">
        <v>60</v>
      </c>
      <c r="N37">
        <v>3</v>
      </c>
      <c r="O37">
        <v>21</v>
      </c>
      <c r="P37">
        <v>27</v>
      </c>
      <c r="Q37">
        <v>29</v>
      </c>
      <c r="R37">
        <v>43</v>
      </c>
      <c r="S37">
        <v>26</v>
      </c>
      <c r="T37">
        <v>71</v>
      </c>
      <c r="U37">
        <v>61</v>
      </c>
      <c r="V37">
        <v>13</v>
      </c>
      <c r="W37">
        <v>18</v>
      </c>
      <c r="X37">
        <v>1</v>
      </c>
      <c r="Y37">
        <v>72</v>
      </c>
      <c r="Z37">
        <v>11</v>
      </c>
      <c r="AA37">
        <v>9</v>
      </c>
      <c r="AB37">
        <v>34</v>
      </c>
      <c r="AC37">
        <v>48</v>
      </c>
      <c r="AD37">
        <v>49</v>
      </c>
      <c r="AE37">
        <v>36</v>
      </c>
      <c r="AF37">
        <v>17</v>
      </c>
      <c r="AG37">
        <v>25</v>
      </c>
      <c r="AH37">
        <v>59</v>
      </c>
      <c r="AI37">
        <v>2</v>
      </c>
      <c r="AJ37">
        <v>22</v>
      </c>
      <c r="AK37">
        <v>69</v>
      </c>
      <c r="AL37">
        <v>5</v>
      </c>
      <c r="AM37">
        <v>75</v>
      </c>
      <c r="AN37">
        <v>52</v>
      </c>
      <c r="AO37">
        <v>38</v>
      </c>
      <c r="AP37">
        <v>4</v>
      </c>
      <c r="AQ37">
        <v>55</v>
      </c>
      <c r="AR37">
        <v>68</v>
      </c>
      <c r="AS37">
        <v>62</v>
      </c>
      <c r="AT37">
        <v>24</v>
      </c>
      <c r="AU37">
        <v>67</v>
      </c>
      <c r="AV37">
        <v>45</v>
      </c>
      <c r="AW37">
        <v>46</v>
      </c>
      <c r="AX37">
        <v>12</v>
      </c>
      <c r="AY37">
        <v>66</v>
      </c>
      <c r="AZ37">
        <v>41</v>
      </c>
      <c r="BA37">
        <v>56</v>
      </c>
      <c r="BB37">
        <v>33</v>
      </c>
      <c r="BC37">
        <v>14</v>
      </c>
      <c r="BD37">
        <v>50</v>
      </c>
      <c r="BE37">
        <v>73</v>
      </c>
      <c r="BF37">
        <v>10</v>
      </c>
      <c r="BG37">
        <v>47</v>
      </c>
      <c r="BH37">
        <v>44</v>
      </c>
      <c r="BI37">
        <v>28</v>
      </c>
      <c r="BJ37">
        <v>16</v>
      </c>
      <c r="BK37">
        <v>6</v>
      </c>
      <c r="BL37">
        <v>31</v>
      </c>
      <c r="BM37">
        <v>20</v>
      </c>
      <c r="BN37">
        <v>54</v>
      </c>
    </row>
    <row r="38" spans="1:66" x14ac:dyDescent="0.25">
      <c r="A38" s="4">
        <v>45759</v>
      </c>
      <c r="B38" t="s">
        <v>9</v>
      </c>
      <c r="C38">
        <v>204</v>
      </c>
      <c r="D38">
        <v>59</v>
      </c>
      <c r="E38">
        <v>18</v>
      </c>
      <c r="F38">
        <v>27</v>
      </c>
      <c r="G38">
        <v>53</v>
      </c>
      <c r="H38">
        <v>7</v>
      </c>
      <c r="I38">
        <v>73</v>
      </c>
    </row>
    <row r="39" spans="1:66" x14ac:dyDescent="0.25">
      <c r="A39" s="4">
        <v>45780</v>
      </c>
      <c r="B39" t="s">
        <v>42</v>
      </c>
      <c r="C39">
        <v>205</v>
      </c>
    </row>
    <row r="40" spans="1:66" x14ac:dyDescent="0.25">
      <c r="A40" s="4">
        <v>45780</v>
      </c>
      <c r="B40" t="s">
        <v>42</v>
      </c>
      <c r="C40">
        <v>206</v>
      </c>
    </row>
    <row r="41" spans="1:66" x14ac:dyDescent="0.25">
      <c r="A41" s="4">
        <v>45780</v>
      </c>
      <c r="B41" t="s">
        <v>42</v>
      </c>
      <c r="C41">
        <v>207</v>
      </c>
    </row>
    <row r="42" spans="1:66" x14ac:dyDescent="0.25">
      <c r="A42" s="4">
        <v>45780</v>
      </c>
      <c r="B42" t="s">
        <v>42</v>
      </c>
      <c r="C42">
        <v>208</v>
      </c>
    </row>
    <row r="43" spans="1:66" x14ac:dyDescent="0.25">
      <c r="A43" s="4">
        <v>45780</v>
      </c>
      <c r="B43" t="s">
        <v>42</v>
      </c>
      <c r="C43">
        <v>209</v>
      </c>
    </row>
    <row r="44" spans="1:66" x14ac:dyDescent="0.25">
      <c r="A44" s="4">
        <v>45780</v>
      </c>
      <c r="B44" t="s">
        <v>42</v>
      </c>
      <c r="C44">
        <v>210</v>
      </c>
      <c r="D44">
        <v>24</v>
      </c>
      <c r="E44">
        <v>59</v>
      </c>
      <c r="F44">
        <v>47</v>
      </c>
      <c r="G44">
        <v>75</v>
      </c>
      <c r="H44">
        <v>58</v>
      </c>
      <c r="I44">
        <v>49</v>
      </c>
      <c r="J44">
        <v>69</v>
      </c>
      <c r="K44">
        <v>56</v>
      </c>
      <c r="L44">
        <v>63</v>
      </c>
      <c r="M44">
        <v>15</v>
      </c>
      <c r="N44">
        <v>4</v>
      </c>
      <c r="O44">
        <v>36</v>
      </c>
      <c r="P44">
        <v>28</v>
      </c>
      <c r="Q44">
        <v>16</v>
      </c>
      <c r="R44">
        <v>50</v>
      </c>
      <c r="S44">
        <v>57</v>
      </c>
      <c r="T44">
        <v>67</v>
      </c>
      <c r="U44">
        <v>41</v>
      </c>
      <c r="V44">
        <v>17</v>
      </c>
      <c r="W44">
        <v>10</v>
      </c>
      <c r="X44">
        <v>22</v>
      </c>
      <c r="Y44">
        <v>23</v>
      </c>
      <c r="Z44">
        <v>34</v>
      </c>
      <c r="AA44">
        <v>38</v>
      </c>
      <c r="AB44">
        <v>9</v>
      </c>
      <c r="AC44">
        <v>68</v>
      </c>
      <c r="AD44">
        <v>30</v>
      </c>
      <c r="AE44">
        <v>72</v>
      </c>
      <c r="AF44">
        <v>31</v>
      </c>
      <c r="AG44">
        <v>55</v>
      </c>
      <c r="AH44">
        <v>2</v>
      </c>
      <c r="AI44">
        <v>54</v>
      </c>
      <c r="AJ44">
        <v>25</v>
      </c>
      <c r="AK44">
        <v>37</v>
      </c>
      <c r="AL44">
        <v>71</v>
      </c>
      <c r="AM44">
        <v>44</v>
      </c>
      <c r="AN44">
        <v>6</v>
      </c>
      <c r="AO44">
        <v>7</v>
      </c>
      <c r="AP44">
        <v>73</v>
      </c>
      <c r="AQ44">
        <v>39</v>
      </c>
      <c r="AR44">
        <v>19</v>
      </c>
      <c r="AS44">
        <v>66</v>
      </c>
    </row>
    <row r="45" spans="1:66" x14ac:dyDescent="0.25">
      <c r="A45" s="4">
        <v>45780</v>
      </c>
      <c r="B45" t="s">
        <v>36</v>
      </c>
      <c r="C45">
        <v>211</v>
      </c>
    </row>
    <row r="46" spans="1:66" x14ac:dyDescent="0.25">
      <c r="A46" s="4">
        <v>45780</v>
      </c>
      <c r="B46" t="s">
        <v>36</v>
      </c>
      <c r="C46">
        <v>212</v>
      </c>
    </row>
    <row r="47" spans="1:66" x14ac:dyDescent="0.25">
      <c r="A47" s="4">
        <v>45780</v>
      </c>
      <c r="B47" t="s">
        <v>36</v>
      </c>
      <c r="C47">
        <v>213</v>
      </c>
      <c r="D47">
        <v>54</v>
      </c>
      <c r="E47">
        <v>44</v>
      </c>
      <c r="F47">
        <v>23</v>
      </c>
      <c r="G47">
        <v>8</v>
      </c>
      <c r="H47">
        <v>11</v>
      </c>
      <c r="I47">
        <v>25</v>
      </c>
      <c r="J47">
        <v>72</v>
      </c>
      <c r="K47">
        <v>19</v>
      </c>
      <c r="L47">
        <v>38</v>
      </c>
      <c r="M47">
        <v>17</v>
      </c>
      <c r="N47">
        <v>65</v>
      </c>
      <c r="O47">
        <v>46</v>
      </c>
      <c r="P47">
        <v>21</v>
      </c>
      <c r="Q47">
        <v>34</v>
      </c>
      <c r="R47">
        <v>33</v>
      </c>
      <c r="S47">
        <v>35</v>
      </c>
      <c r="T47">
        <v>55</v>
      </c>
      <c r="U47">
        <v>10</v>
      </c>
      <c r="V47">
        <v>45</v>
      </c>
      <c r="W47">
        <v>36</v>
      </c>
      <c r="X47">
        <v>71</v>
      </c>
      <c r="Y47">
        <v>32</v>
      </c>
      <c r="Z47">
        <v>61</v>
      </c>
      <c r="AA47">
        <v>14</v>
      </c>
      <c r="AB47">
        <v>22</v>
      </c>
      <c r="AC47">
        <v>20</v>
      </c>
      <c r="AD47">
        <v>12</v>
      </c>
      <c r="AE47">
        <v>51</v>
      </c>
      <c r="AF47">
        <v>28</v>
      </c>
      <c r="AG47">
        <v>47</v>
      </c>
      <c r="AH47">
        <v>69</v>
      </c>
      <c r="AI47">
        <v>30</v>
      </c>
      <c r="AJ47">
        <v>5</v>
      </c>
      <c r="AK47">
        <v>24</v>
      </c>
      <c r="AL47">
        <v>49</v>
      </c>
      <c r="AM47">
        <v>60</v>
      </c>
      <c r="AN47">
        <v>56</v>
      </c>
      <c r="AO47">
        <v>13</v>
      </c>
      <c r="AP47">
        <v>41</v>
      </c>
      <c r="AQ47">
        <v>16</v>
      </c>
      <c r="AR47">
        <v>39</v>
      </c>
      <c r="AS47">
        <v>1</v>
      </c>
      <c r="AT47">
        <v>74</v>
      </c>
      <c r="AU47">
        <v>29</v>
      </c>
      <c r="AV47">
        <v>27</v>
      </c>
      <c r="AW47">
        <v>40</v>
      </c>
      <c r="AX47">
        <v>66</v>
      </c>
      <c r="AY47">
        <v>4</v>
      </c>
      <c r="AZ47">
        <v>26</v>
      </c>
      <c r="BA47">
        <v>7</v>
      </c>
      <c r="BB47">
        <v>59</v>
      </c>
      <c r="BC47">
        <v>6</v>
      </c>
      <c r="BD47">
        <v>48</v>
      </c>
    </row>
    <row r="48" spans="1:66" x14ac:dyDescent="0.25">
      <c r="A48" s="4">
        <v>45780</v>
      </c>
      <c r="B48" t="s">
        <v>37</v>
      </c>
      <c r="C48">
        <v>214</v>
      </c>
    </row>
    <row r="49" spans="1:73" x14ac:dyDescent="0.25">
      <c r="A49" s="4">
        <v>45780</v>
      </c>
      <c r="B49" t="s">
        <v>37</v>
      </c>
      <c r="C49">
        <v>215</v>
      </c>
    </row>
    <row r="50" spans="1:73" x14ac:dyDescent="0.25">
      <c r="A50" s="4">
        <v>45780</v>
      </c>
      <c r="B50" t="s">
        <v>37</v>
      </c>
      <c r="C50">
        <v>216</v>
      </c>
    </row>
    <row r="51" spans="1:73" x14ac:dyDescent="0.25">
      <c r="A51" s="4">
        <v>45780</v>
      </c>
      <c r="B51" t="s">
        <v>37</v>
      </c>
      <c r="C51">
        <v>217</v>
      </c>
      <c r="D51">
        <v>54</v>
      </c>
      <c r="E51">
        <v>22</v>
      </c>
      <c r="F51">
        <v>56</v>
      </c>
      <c r="G51">
        <v>27</v>
      </c>
      <c r="H51">
        <v>43</v>
      </c>
      <c r="I51">
        <v>10</v>
      </c>
      <c r="J51">
        <v>58</v>
      </c>
      <c r="K51">
        <v>37</v>
      </c>
      <c r="L51">
        <v>34</v>
      </c>
      <c r="M51">
        <v>66</v>
      </c>
      <c r="N51">
        <v>40</v>
      </c>
      <c r="O51">
        <v>7</v>
      </c>
      <c r="P51">
        <v>63</v>
      </c>
      <c r="Q51">
        <v>32</v>
      </c>
      <c r="R51">
        <v>53</v>
      </c>
      <c r="S51">
        <v>30</v>
      </c>
      <c r="T51">
        <v>47</v>
      </c>
      <c r="U51">
        <v>2</v>
      </c>
      <c r="V51">
        <v>60</v>
      </c>
      <c r="W51">
        <v>3</v>
      </c>
      <c r="X51">
        <v>15</v>
      </c>
      <c r="Y51">
        <v>50</v>
      </c>
      <c r="Z51">
        <v>29</v>
      </c>
      <c r="AA51">
        <v>18</v>
      </c>
      <c r="AB51">
        <v>38</v>
      </c>
      <c r="AC51">
        <v>42</v>
      </c>
      <c r="AD51">
        <v>69</v>
      </c>
      <c r="AE51">
        <v>59</v>
      </c>
      <c r="AF51">
        <v>8</v>
      </c>
      <c r="AG51">
        <v>48</v>
      </c>
      <c r="AH51">
        <v>9</v>
      </c>
      <c r="AI51">
        <v>35</v>
      </c>
      <c r="AJ51">
        <v>68</v>
      </c>
      <c r="AK51">
        <v>75</v>
      </c>
      <c r="AL51">
        <v>73</v>
      </c>
      <c r="AM51">
        <v>26</v>
      </c>
      <c r="AN51">
        <v>25</v>
      </c>
      <c r="AO51">
        <v>24</v>
      </c>
      <c r="AP51">
        <v>44</v>
      </c>
      <c r="AQ51">
        <v>17</v>
      </c>
      <c r="AR51">
        <v>64</v>
      </c>
      <c r="AS51">
        <v>23</v>
      </c>
      <c r="AT51">
        <v>65</v>
      </c>
      <c r="AU51">
        <v>6</v>
      </c>
      <c r="AV51">
        <v>55</v>
      </c>
      <c r="AW51">
        <v>39</v>
      </c>
      <c r="AX51">
        <v>28</v>
      </c>
      <c r="AY51">
        <v>61</v>
      </c>
      <c r="AZ51">
        <v>1</v>
      </c>
      <c r="BA51">
        <v>46</v>
      </c>
      <c r="BB51">
        <v>13</v>
      </c>
      <c r="BC51">
        <v>57</v>
      </c>
    </row>
    <row r="52" spans="1:73" x14ac:dyDescent="0.25">
      <c r="A52" s="4">
        <v>45780</v>
      </c>
      <c r="B52" t="s">
        <v>37</v>
      </c>
      <c r="C52">
        <v>218</v>
      </c>
    </row>
    <row r="53" spans="1:73" x14ac:dyDescent="0.25">
      <c r="A53" s="4">
        <v>45780</v>
      </c>
      <c r="B53" t="s">
        <v>37</v>
      </c>
      <c r="C53">
        <v>219</v>
      </c>
      <c r="D53">
        <v>73</v>
      </c>
      <c r="E53">
        <v>37</v>
      </c>
      <c r="F53">
        <v>14</v>
      </c>
      <c r="G53">
        <v>15</v>
      </c>
      <c r="H53">
        <v>62</v>
      </c>
      <c r="I53">
        <v>53</v>
      </c>
      <c r="J53">
        <v>47</v>
      </c>
      <c r="K53">
        <v>68</v>
      </c>
      <c r="L53">
        <v>9</v>
      </c>
      <c r="M53">
        <v>57</v>
      </c>
      <c r="N53">
        <v>48</v>
      </c>
      <c r="O53">
        <v>50</v>
      </c>
      <c r="P53">
        <v>71</v>
      </c>
      <c r="Q53">
        <v>58</v>
      </c>
      <c r="R53">
        <v>69</v>
      </c>
      <c r="S53">
        <v>74</v>
      </c>
      <c r="T53">
        <v>25</v>
      </c>
      <c r="U53">
        <v>72</v>
      </c>
      <c r="V53">
        <v>40</v>
      </c>
      <c r="W53">
        <v>34</v>
      </c>
      <c r="X53">
        <v>26</v>
      </c>
      <c r="Y53">
        <v>42</v>
      </c>
      <c r="Z53">
        <v>67</v>
      </c>
      <c r="AA53">
        <v>31</v>
      </c>
      <c r="AB53">
        <v>45</v>
      </c>
      <c r="AC53">
        <v>55</v>
      </c>
      <c r="AD53">
        <v>5</v>
      </c>
      <c r="AE53">
        <v>56</v>
      </c>
      <c r="AF53">
        <v>64</v>
      </c>
      <c r="AG53">
        <v>66</v>
      </c>
      <c r="AH53">
        <v>8</v>
      </c>
      <c r="AI53">
        <v>23</v>
      </c>
      <c r="AJ53">
        <v>46</v>
      </c>
      <c r="AK53">
        <v>43</v>
      </c>
      <c r="AL53">
        <v>18</v>
      </c>
      <c r="AM53">
        <v>36</v>
      </c>
      <c r="AN53">
        <v>28</v>
      </c>
      <c r="AO53">
        <v>11</v>
      </c>
      <c r="AP53">
        <v>3</v>
      </c>
      <c r="AQ53">
        <v>38</v>
      </c>
      <c r="AR53">
        <v>70</v>
      </c>
      <c r="AS53">
        <v>75</v>
      </c>
      <c r="AT53">
        <v>39</v>
      </c>
      <c r="AU53">
        <v>29</v>
      </c>
      <c r="AV53">
        <v>54</v>
      </c>
      <c r="AW53">
        <v>4</v>
      </c>
      <c r="AX53">
        <v>6</v>
      </c>
      <c r="AY53">
        <v>65</v>
      </c>
      <c r="AZ53">
        <v>16</v>
      </c>
      <c r="BA53">
        <v>60</v>
      </c>
      <c r="BB53">
        <v>41</v>
      </c>
      <c r="BC53">
        <v>52</v>
      </c>
      <c r="BD53">
        <v>30</v>
      </c>
      <c r="BE53">
        <v>10</v>
      </c>
      <c r="BF53">
        <v>27</v>
      </c>
      <c r="BG53">
        <v>59</v>
      </c>
      <c r="BH53">
        <v>1</v>
      </c>
      <c r="BI53">
        <v>21</v>
      </c>
      <c r="BJ53">
        <v>13</v>
      </c>
      <c r="BK53">
        <v>20</v>
      </c>
      <c r="BL53">
        <v>44</v>
      </c>
      <c r="BM53">
        <v>35</v>
      </c>
      <c r="BN53">
        <v>49</v>
      </c>
      <c r="BO53">
        <v>17</v>
      </c>
      <c r="BP53">
        <v>32</v>
      </c>
      <c r="BQ53">
        <v>61</v>
      </c>
      <c r="BR53">
        <v>63</v>
      </c>
      <c r="BS53">
        <v>22</v>
      </c>
      <c r="BT53">
        <v>51</v>
      </c>
      <c r="BU53">
        <v>12</v>
      </c>
    </row>
    <row r="54" spans="1:73" x14ac:dyDescent="0.25">
      <c r="A54" s="4">
        <v>45780</v>
      </c>
      <c r="B54" t="s">
        <v>9</v>
      </c>
      <c r="C54">
        <v>220</v>
      </c>
      <c r="D54">
        <v>60</v>
      </c>
      <c r="E54">
        <v>66</v>
      </c>
      <c r="F54">
        <v>43</v>
      </c>
      <c r="G54">
        <v>41</v>
      </c>
      <c r="H54">
        <v>72</v>
      </c>
      <c r="I54">
        <v>47</v>
      </c>
      <c r="J54">
        <v>36</v>
      </c>
      <c r="K54">
        <v>53</v>
      </c>
      <c r="L54">
        <v>25</v>
      </c>
      <c r="M54">
        <v>12</v>
      </c>
      <c r="N54">
        <v>64</v>
      </c>
      <c r="O54">
        <v>13</v>
      </c>
      <c r="P54">
        <v>42</v>
      </c>
      <c r="Q54">
        <v>51</v>
      </c>
      <c r="R54">
        <v>26</v>
      </c>
      <c r="S54">
        <v>37</v>
      </c>
      <c r="T54">
        <v>73</v>
      </c>
      <c r="U54">
        <v>2</v>
      </c>
      <c r="V54">
        <v>69</v>
      </c>
      <c r="W54">
        <v>31</v>
      </c>
      <c r="X54">
        <v>18</v>
      </c>
      <c r="Y54">
        <v>6</v>
      </c>
      <c r="Z54">
        <v>9</v>
      </c>
      <c r="AA54">
        <v>56</v>
      </c>
      <c r="AB54">
        <v>16</v>
      </c>
      <c r="AC54">
        <v>35</v>
      </c>
      <c r="AD54">
        <v>28</v>
      </c>
      <c r="AE54">
        <v>71</v>
      </c>
      <c r="AF54">
        <v>17</v>
      </c>
      <c r="AG54">
        <v>1</v>
      </c>
      <c r="AH54">
        <v>5</v>
      </c>
      <c r="AI54">
        <v>29</v>
      </c>
      <c r="AJ54">
        <v>45</v>
      </c>
      <c r="AK54">
        <v>59</v>
      </c>
      <c r="AL54">
        <v>62</v>
      </c>
      <c r="AM54">
        <v>74</v>
      </c>
      <c r="AN54">
        <v>63</v>
      </c>
      <c r="AO54">
        <v>68</v>
      </c>
      <c r="AP54">
        <v>57</v>
      </c>
      <c r="AQ54">
        <v>7</v>
      </c>
      <c r="AR54">
        <v>52</v>
      </c>
      <c r="AS54">
        <v>67</v>
      </c>
      <c r="AT54">
        <v>21</v>
      </c>
      <c r="AU54">
        <v>33</v>
      </c>
      <c r="AV54">
        <v>75</v>
      </c>
      <c r="AW54">
        <v>30</v>
      </c>
      <c r="AX54">
        <v>14</v>
      </c>
      <c r="AY54">
        <v>8</v>
      </c>
      <c r="AZ54">
        <v>27</v>
      </c>
      <c r="BA54">
        <v>23</v>
      </c>
      <c r="BB54">
        <v>20</v>
      </c>
      <c r="BC54">
        <v>40</v>
      </c>
      <c r="BD54">
        <v>48</v>
      </c>
      <c r="BE54">
        <v>15</v>
      </c>
      <c r="BF54">
        <v>70</v>
      </c>
      <c r="BG54">
        <v>61</v>
      </c>
      <c r="BH54">
        <v>44</v>
      </c>
      <c r="BI54">
        <v>39</v>
      </c>
      <c r="BJ54">
        <v>55</v>
      </c>
      <c r="BK54">
        <v>49</v>
      </c>
      <c r="BL54">
        <v>3</v>
      </c>
      <c r="BM54">
        <v>50</v>
      </c>
      <c r="BN54">
        <v>34</v>
      </c>
      <c r="BO54">
        <v>4</v>
      </c>
    </row>
    <row r="55" spans="1:73" x14ac:dyDescent="0.25">
      <c r="A55" s="4">
        <v>46066</v>
      </c>
      <c r="B55" t="s">
        <v>9</v>
      </c>
      <c r="C55">
        <v>221</v>
      </c>
      <c r="D55">
        <v>42</v>
      </c>
    </row>
    <row r="56" spans="1:73" x14ac:dyDescent="0.25">
      <c r="A56" s="4">
        <v>46066</v>
      </c>
      <c r="B56" t="s">
        <v>9</v>
      </c>
      <c r="C56">
        <v>222</v>
      </c>
      <c r="D56">
        <v>25</v>
      </c>
      <c r="E56">
        <v>52</v>
      </c>
      <c r="F56">
        <v>10</v>
      </c>
      <c r="G56">
        <v>20</v>
      </c>
    </row>
    <row r="57" spans="1:73" x14ac:dyDescent="0.25">
      <c r="A57" s="4">
        <v>46066</v>
      </c>
      <c r="B57" t="s">
        <v>9</v>
      </c>
      <c r="C57">
        <v>223</v>
      </c>
      <c r="D57">
        <v>37</v>
      </c>
      <c r="E57">
        <v>6</v>
      </c>
      <c r="F57">
        <v>41</v>
      </c>
      <c r="G57">
        <v>63</v>
      </c>
      <c r="H57">
        <v>53</v>
      </c>
      <c r="I57">
        <v>39</v>
      </c>
      <c r="J57">
        <v>11</v>
      </c>
      <c r="K57">
        <v>34</v>
      </c>
      <c r="L57">
        <v>58</v>
      </c>
      <c r="M57">
        <v>5</v>
      </c>
      <c r="N57">
        <v>22</v>
      </c>
      <c r="O57">
        <v>40</v>
      </c>
      <c r="P57">
        <v>23</v>
      </c>
      <c r="Q57">
        <v>66</v>
      </c>
      <c r="R57">
        <v>62</v>
      </c>
      <c r="S57">
        <v>60</v>
      </c>
      <c r="T57">
        <v>10</v>
      </c>
      <c r="U57">
        <v>21</v>
      </c>
      <c r="V57">
        <v>7</v>
      </c>
      <c r="W57">
        <v>30</v>
      </c>
      <c r="X57">
        <v>43</v>
      </c>
      <c r="Y57">
        <v>70</v>
      </c>
      <c r="Z57">
        <v>46</v>
      </c>
      <c r="AA57">
        <v>8</v>
      </c>
    </row>
    <row r="58" spans="1:73" x14ac:dyDescent="0.25">
      <c r="A58" s="4">
        <v>46066</v>
      </c>
      <c r="B58" t="s">
        <v>9</v>
      </c>
      <c r="C58">
        <v>224</v>
      </c>
      <c r="D58">
        <v>60</v>
      </c>
      <c r="E58">
        <v>15</v>
      </c>
      <c r="F58">
        <v>56</v>
      </c>
      <c r="G58">
        <v>20</v>
      </c>
      <c r="H58">
        <v>57</v>
      </c>
      <c r="I58">
        <v>5</v>
      </c>
      <c r="J58">
        <v>22</v>
      </c>
      <c r="K58">
        <v>29</v>
      </c>
      <c r="L58">
        <v>62</v>
      </c>
      <c r="M58">
        <v>11</v>
      </c>
      <c r="N58">
        <v>69</v>
      </c>
      <c r="O58">
        <v>53</v>
      </c>
      <c r="P58">
        <v>68</v>
      </c>
      <c r="Q58">
        <v>12</v>
      </c>
      <c r="R58">
        <v>58</v>
      </c>
      <c r="S58">
        <v>42</v>
      </c>
      <c r="T58">
        <v>2</v>
      </c>
      <c r="U58">
        <v>47</v>
      </c>
      <c r="V58">
        <v>61</v>
      </c>
    </row>
    <row r="59" spans="1:73" x14ac:dyDescent="0.25">
      <c r="A59" s="4">
        <v>46066</v>
      </c>
      <c r="B59" t="s">
        <v>9</v>
      </c>
      <c r="C59">
        <v>225</v>
      </c>
      <c r="D59">
        <v>63</v>
      </c>
      <c r="E59">
        <v>15</v>
      </c>
      <c r="F59">
        <v>31</v>
      </c>
      <c r="G59">
        <v>10</v>
      </c>
      <c r="H59">
        <v>45</v>
      </c>
      <c r="I59">
        <v>12</v>
      </c>
      <c r="J59">
        <v>39</v>
      </c>
      <c r="K59">
        <v>18</v>
      </c>
      <c r="L59">
        <v>16</v>
      </c>
      <c r="M59">
        <v>32</v>
      </c>
      <c r="N59">
        <v>34</v>
      </c>
      <c r="O59">
        <v>30</v>
      </c>
      <c r="P59">
        <v>1</v>
      </c>
      <c r="Q59">
        <v>58</v>
      </c>
      <c r="R59">
        <v>25</v>
      </c>
      <c r="S59">
        <v>40</v>
      </c>
      <c r="T59">
        <v>65</v>
      </c>
      <c r="U59">
        <v>8</v>
      </c>
      <c r="V59">
        <v>46</v>
      </c>
      <c r="W59">
        <v>69</v>
      </c>
      <c r="X59">
        <v>19</v>
      </c>
      <c r="Y59">
        <v>55</v>
      </c>
      <c r="Z59">
        <v>33</v>
      </c>
      <c r="AA59">
        <v>37</v>
      </c>
      <c r="AB59">
        <v>73</v>
      </c>
      <c r="AC59">
        <v>74</v>
      </c>
      <c r="AD59">
        <v>21</v>
      </c>
      <c r="AE59">
        <v>44</v>
      </c>
      <c r="AF59">
        <v>43</v>
      </c>
      <c r="AG59">
        <v>72</v>
      </c>
      <c r="AH59">
        <v>53</v>
      </c>
      <c r="AI59">
        <v>23</v>
      </c>
      <c r="AJ59">
        <v>20</v>
      </c>
      <c r="AK59">
        <v>36</v>
      </c>
      <c r="AL59">
        <v>4</v>
      </c>
      <c r="AM59">
        <v>57</v>
      </c>
      <c r="AN59">
        <v>17</v>
      </c>
      <c r="AO59">
        <v>50</v>
      </c>
      <c r="AP59">
        <v>38</v>
      </c>
      <c r="AQ59">
        <v>47</v>
      </c>
      <c r="AR59">
        <v>68</v>
      </c>
      <c r="AS59">
        <v>6</v>
      </c>
      <c r="AT59">
        <v>14</v>
      </c>
      <c r="AU59">
        <v>42</v>
      </c>
      <c r="AV59">
        <v>66</v>
      </c>
      <c r="AW59">
        <v>60</v>
      </c>
      <c r="AX59">
        <v>9</v>
      </c>
      <c r="AY59">
        <v>56</v>
      </c>
      <c r="AZ59">
        <v>62</v>
      </c>
      <c r="BA59">
        <v>26</v>
      </c>
      <c r="BB59">
        <v>51</v>
      </c>
      <c r="BC59">
        <v>7</v>
      </c>
      <c r="BD59">
        <v>11</v>
      </c>
    </row>
  </sheetData>
  <dataConsolidate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B228C-A496-4904-B931-FA586F7EEC78}">
  <sheetPr codeName="Hoja6"/>
  <dimension ref="A1:F2"/>
  <sheetViews>
    <sheetView workbookViewId="0">
      <selection activeCell="F25" sqref="F25"/>
    </sheetView>
  </sheetViews>
  <sheetFormatPr baseColWidth="10" defaultRowHeight="15" x14ac:dyDescent="0.25"/>
  <cols>
    <col min="1" max="1" width="13" bestFit="1" customWidth="1"/>
    <col min="2" max="2" width="25.42578125" customWidth="1"/>
    <col min="3" max="3" width="46" customWidth="1"/>
    <col min="4" max="4" width="36.85546875" bestFit="1" customWidth="1"/>
  </cols>
  <sheetData>
    <row r="1" spans="1:6" x14ac:dyDescent="0.25">
      <c r="A1" t="s">
        <v>27</v>
      </c>
      <c r="B1" t="s">
        <v>22</v>
      </c>
      <c r="C1" t="s">
        <v>23</v>
      </c>
      <c r="D1" t="s">
        <v>23</v>
      </c>
      <c r="E1" t="s">
        <v>24</v>
      </c>
    </row>
    <row r="2" spans="1:6" x14ac:dyDescent="0.25">
      <c r="A2" t="s">
        <v>28</v>
      </c>
      <c r="B2">
        <v>4249343108</v>
      </c>
      <c r="C2" t="str">
        <f>_xlfn.CONCAT(D2,E2,F2)</f>
        <v>C:\Users\PC1\Desktop\Cartones\Carton15.png</v>
      </c>
      <c r="D2" t="s">
        <v>25</v>
      </c>
      <c r="E2">
        <v>15</v>
      </c>
      <c r="F2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</vt:i4>
      </vt:variant>
    </vt:vector>
  </HeadingPairs>
  <TitlesOfParts>
    <vt:vector size="10" baseType="lpstr">
      <vt:lpstr>Cartones</vt:lpstr>
      <vt:lpstr>Bingo Cards</vt:lpstr>
      <vt:lpstr>Tablero</vt:lpstr>
      <vt:lpstr>Premios</vt:lpstr>
      <vt:lpstr>Vendidos</vt:lpstr>
      <vt:lpstr>modalidad</vt:lpstr>
      <vt:lpstr>Plantilla</vt:lpstr>
      <vt:lpstr>Sorteos</vt:lpstr>
      <vt:lpstr>Numeros</vt:lpstr>
      <vt:lpstr>Plantilla!Área_de_impresión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PC1</dc:creator>
  <cp:lastModifiedBy>Marco Antonio Salazar Enriquez</cp:lastModifiedBy>
  <cp:lastPrinted>2025-04-12T17:48:45Z</cp:lastPrinted>
  <dcterms:created xsi:type="dcterms:W3CDTF">2024-10-20T20:29:04Z</dcterms:created>
  <dcterms:modified xsi:type="dcterms:W3CDTF">2026-02-14T02:01:30Z</dcterms:modified>
</cp:coreProperties>
</file>